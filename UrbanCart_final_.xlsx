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E3A2477F-BBC7-421B-979F-D902FD4A4C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shBoard" sheetId="20" r:id="rId1"/>
    <sheet name="Leakage_Summary" sheetId="15" r:id="rId2"/>
    <sheet name="DQ_Checks" sheetId="16" r:id="rId3"/>
    <sheet name="Pivots" sheetId="17" r:id="rId4"/>
    <sheet name="Chart_data" sheetId="19" r:id="rId5"/>
    <sheet name="Reconciliation" sheetId="14" r:id="rId6"/>
    <sheet name="clean_Orders" sheetId="7" r:id="rId7"/>
    <sheet name="cln_Payments" sheetId="9" r:id="rId8"/>
    <sheet name="clean_Returns" sheetId="10" r:id="rId9"/>
    <sheet name="clean_Refunds" sheetId="12" r:id="rId10"/>
    <sheet name="Data_Issues_Log" sheetId="21" r:id="rId11"/>
    <sheet name="Orders_Raw" sheetId="2" r:id="rId12"/>
    <sheet name="Payments_Raw" sheetId="3" r:id="rId13"/>
    <sheet name="Returns_Raw" sheetId="4" r:id="rId14"/>
    <sheet name="Refunds_Raw" sheetId="5" r:id="rId15"/>
    <sheet name="stg_Refunds" sheetId="11" r:id="rId16"/>
  </sheets>
  <definedNames>
    <definedName name="ExternalData_1" localSheetId="6" hidden="1">'clean_Orders'!$A$1:$M$401</definedName>
    <definedName name="ExternalData_1" localSheetId="9" hidden="1">'clean_Refunds'!$A$1:$H$80</definedName>
    <definedName name="ExternalData_1" localSheetId="8" hidden="1">'clean_Returns'!$A$1:$F$87</definedName>
    <definedName name="ExternalData_1" localSheetId="7" hidden="1">cln_Payments!$A$1:$F$375</definedName>
    <definedName name="ExternalData_2" localSheetId="5" hidden="1">Reconciliation!$A$1:$U$80</definedName>
  </definedNames>
  <calcPr calcId="191029"/>
  <pivotCaches>
    <pivotCache cacheId="0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4" l="1"/>
  <c r="V3" i="14"/>
  <c r="V4" i="14"/>
  <c r="V5" i="14"/>
  <c r="V6" i="14"/>
  <c r="V7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43" i="14"/>
  <c r="V44" i="14"/>
  <c r="V45" i="14"/>
  <c r="V46" i="14"/>
  <c r="V47" i="14"/>
  <c r="V48" i="14"/>
  <c r="V49" i="14"/>
  <c r="V50" i="14"/>
  <c r="V51" i="14"/>
  <c r="V52" i="14"/>
  <c r="V53" i="14"/>
  <c r="V54" i="14"/>
  <c r="V55" i="14"/>
  <c r="V56" i="14"/>
  <c r="AD56" i="14" s="1"/>
  <c r="V57" i="14"/>
  <c r="V58" i="14"/>
  <c r="V59" i="14"/>
  <c r="V60" i="14"/>
  <c r="V61" i="14"/>
  <c r="V62" i="14"/>
  <c r="AD62" i="14" s="1"/>
  <c r="V63" i="14"/>
  <c r="V64" i="14"/>
  <c r="V65" i="14"/>
  <c r="V66" i="14"/>
  <c r="V67" i="14"/>
  <c r="V68" i="14"/>
  <c r="V69" i="14"/>
  <c r="V70" i="14"/>
  <c r="V71" i="14"/>
  <c r="V72" i="14"/>
  <c r="V73" i="14"/>
  <c r="V74" i="14"/>
  <c r="V75" i="14"/>
  <c r="V76" i="14"/>
  <c r="V77" i="14"/>
  <c r="V78" i="14"/>
  <c r="V79" i="14"/>
  <c r="V80" i="14"/>
  <c r="W2" i="14"/>
  <c r="W3" i="14"/>
  <c r="W4" i="14"/>
  <c r="W5" i="14"/>
  <c r="W6" i="14"/>
  <c r="W7" i="14"/>
  <c r="W8" i="14"/>
  <c r="W9" i="14"/>
  <c r="W10" i="14"/>
  <c r="W11" i="14"/>
  <c r="W12" i="14"/>
  <c r="W13" i="14"/>
  <c r="W14" i="14"/>
  <c r="W15" i="14"/>
  <c r="W16" i="14"/>
  <c r="W17" i="14"/>
  <c r="W18" i="14"/>
  <c r="W19" i="14"/>
  <c r="W20" i="14"/>
  <c r="W21" i="14"/>
  <c r="W22" i="14"/>
  <c r="W23" i="14"/>
  <c r="W24" i="14"/>
  <c r="W25" i="14"/>
  <c r="W26" i="14"/>
  <c r="W27" i="14"/>
  <c r="W28" i="14"/>
  <c r="W29" i="14"/>
  <c r="W30" i="14"/>
  <c r="W31" i="14"/>
  <c r="W32" i="14"/>
  <c r="W33" i="14"/>
  <c r="W34" i="14"/>
  <c r="W35" i="14"/>
  <c r="W36" i="14"/>
  <c r="W37" i="14"/>
  <c r="W38" i="14"/>
  <c r="W39" i="14"/>
  <c r="W40" i="14"/>
  <c r="W41" i="14"/>
  <c r="W42" i="14"/>
  <c r="W43" i="14"/>
  <c r="W44" i="14"/>
  <c r="W45" i="14"/>
  <c r="W46" i="14"/>
  <c r="W47" i="14"/>
  <c r="W48" i="14"/>
  <c r="W49" i="14"/>
  <c r="W50" i="14"/>
  <c r="W51" i="14"/>
  <c r="W52" i="14"/>
  <c r="W53" i="14"/>
  <c r="W54" i="14"/>
  <c r="W55" i="14"/>
  <c r="W56" i="14"/>
  <c r="W57" i="14"/>
  <c r="W58" i="14"/>
  <c r="W59" i="14"/>
  <c r="W60" i="14"/>
  <c r="W61" i="14"/>
  <c r="W62" i="14"/>
  <c r="W63" i="14"/>
  <c r="W64" i="14"/>
  <c r="W65" i="14"/>
  <c r="W66" i="14"/>
  <c r="W67" i="14"/>
  <c r="W68" i="14"/>
  <c r="W69" i="14"/>
  <c r="W70" i="14"/>
  <c r="W71" i="14"/>
  <c r="W72" i="14"/>
  <c r="W73" i="14"/>
  <c r="W74" i="14"/>
  <c r="W75" i="14"/>
  <c r="W76" i="14"/>
  <c r="W77" i="14"/>
  <c r="W78" i="14"/>
  <c r="W79" i="14"/>
  <c r="W80" i="14"/>
  <c r="X2" i="14"/>
  <c r="X3" i="14"/>
  <c r="X4" i="14"/>
  <c r="X5" i="14"/>
  <c r="X6" i="14"/>
  <c r="X7" i="14"/>
  <c r="X8" i="14"/>
  <c r="X9" i="14"/>
  <c r="X10" i="14"/>
  <c r="X11" i="14"/>
  <c r="Y11" i="14" s="1"/>
  <c r="X12" i="14"/>
  <c r="Y12" i="14" s="1"/>
  <c r="X13" i="14"/>
  <c r="Y13" i="14" s="1"/>
  <c r="X14" i="14"/>
  <c r="Y14" i="14" s="1"/>
  <c r="X15" i="14"/>
  <c r="Y15" i="14" s="1"/>
  <c r="X16" i="14"/>
  <c r="Y16" i="14" s="1"/>
  <c r="X17" i="14"/>
  <c r="Y17" i="14" s="1"/>
  <c r="X18" i="14"/>
  <c r="Y18" i="14" s="1"/>
  <c r="X19" i="14"/>
  <c r="Y19" i="14" s="1"/>
  <c r="X20" i="14"/>
  <c r="Y20" i="14" s="1"/>
  <c r="X21" i="14"/>
  <c r="Y21" i="14" s="1"/>
  <c r="X22" i="14"/>
  <c r="Y22" i="14" s="1"/>
  <c r="X23" i="14"/>
  <c r="Y23" i="14" s="1"/>
  <c r="X24" i="14"/>
  <c r="Y24" i="14" s="1"/>
  <c r="X25" i="14"/>
  <c r="Y25" i="14" s="1"/>
  <c r="X26" i="14"/>
  <c r="Y26" i="14" s="1"/>
  <c r="X27" i="14"/>
  <c r="Y27" i="14" s="1"/>
  <c r="X28" i="14"/>
  <c r="Y28" i="14" s="1"/>
  <c r="X29" i="14"/>
  <c r="Y29" i="14" s="1"/>
  <c r="X30" i="14"/>
  <c r="Y30" i="14" s="1"/>
  <c r="X31" i="14"/>
  <c r="Y31" i="14" s="1"/>
  <c r="X32" i="14"/>
  <c r="Y32" i="14" s="1"/>
  <c r="X33" i="14"/>
  <c r="Y33" i="14" s="1"/>
  <c r="X34" i="14"/>
  <c r="Y34" i="14" s="1"/>
  <c r="X35" i="14"/>
  <c r="Y35" i="14" s="1"/>
  <c r="X36" i="14"/>
  <c r="Y36" i="14" s="1"/>
  <c r="X37" i="14"/>
  <c r="Y37" i="14" s="1"/>
  <c r="X38" i="14"/>
  <c r="Y38" i="14" s="1"/>
  <c r="X39" i="14"/>
  <c r="Y39" i="14" s="1"/>
  <c r="X40" i="14"/>
  <c r="Y40" i="14" s="1"/>
  <c r="X41" i="14"/>
  <c r="Y41" i="14" s="1"/>
  <c r="X42" i="14"/>
  <c r="Y42" i="14" s="1"/>
  <c r="X43" i="14"/>
  <c r="Y43" i="14" s="1"/>
  <c r="X44" i="14"/>
  <c r="Y44" i="14" s="1"/>
  <c r="X45" i="14"/>
  <c r="Y45" i="14" s="1"/>
  <c r="X46" i="14"/>
  <c r="Y46" i="14" s="1"/>
  <c r="X47" i="14"/>
  <c r="Y47" i="14" s="1"/>
  <c r="X48" i="14"/>
  <c r="Y48" i="14" s="1"/>
  <c r="X49" i="14"/>
  <c r="Y49" i="14" s="1"/>
  <c r="X50" i="14"/>
  <c r="Y50" i="14" s="1"/>
  <c r="X51" i="14"/>
  <c r="Y51" i="14" s="1"/>
  <c r="X52" i="14"/>
  <c r="Y52" i="14" s="1"/>
  <c r="X53" i="14"/>
  <c r="Y53" i="14" s="1"/>
  <c r="X54" i="14"/>
  <c r="Y54" i="14" s="1"/>
  <c r="X55" i="14"/>
  <c r="Y55" i="14" s="1"/>
  <c r="X56" i="14"/>
  <c r="Y56" i="14" s="1"/>
  <c r="X57" i="14"/>
  <c r="Y57" i="14" s="1"/>
  <c r="X58" i="14"/>
  <c r="Y58" i="14" s="1"/>
  <c r="X59" i="14"/>
  <c r="Y59" i="14" s="1"/>
  <c r="X60" i="14"/>
  <c r="Y60" i="14" s="1"/>
  <c r="X61" i="14"/>
  <c r="Y61" i="14" s="1"/>
  <c r="X62" i="14"/>
  <c r="Y62" i="14" s="1"/>
  <c r="X63" i="14"/>
  <c r="Y63" i="14" s="1"/>
  <c r="X64" i="14"/>
  <c r="Y64" i="14" s="1"/>
  <c r="X65" i="14"/>
  <c r="Y65" i="14" s="1"/>
  <c r="X66" i="14"/>
  <c r="Y66" i="14" s="1"/>
  <c r="X67" i="14"/>
  <c r="Y67" i="14" s="1"/>
  <c r="X68" i="14"/>
  <c r="Y68" i="14" s="1"/>
  <c r="X69" i="14"/>
  <c r="Y69" i="14" s="1"/>
  <c r="X70" i="14"/>
  <c r="Y70" i="14" s="1"/>
  <c r="X71" i="14"/>
  <c r="Y71" i="14" s="1"/>
  <c r="X72" i="14"/>
  <c r="Y72" i="14" s="1"/>
  <c r="X73" i="14"/>
  <c r="Y73" i="14" s="1"/>
  <c r="X74" i="14"/>
  <c r="Y74" i="14" s="1"/>
  <c r="X75" i="14"/>
  <c r="Y75" i="14" s="1"/>
  <c r="X76" i="14"/>
  <c r="Y76" i="14" s="1"/>
  <c r="X77" i="14"/>
  <c r="Y77" i="14" s="1"/>
  <c r="X78" i="14"/>
  <c r="Y78" i="14" s="1"/>
  <c r="X79" i="14"/>
  <c r="Y79" i="14" s="1"/>
  <c r="X80" i="14"/>
  <c r="Y80" i="14" s="1"/>
  <c r="Y2" i="14"/>
  <c r="Y3" i="14"/>
  <c r="Y4" i="14"/>
  <c r="Y5" i="14"/>
  <c r="Y6" i="14"/>
  <c r="Y7" i="14"/>
  <c r="Y8" i="14"/>
  <c r="Y9" i="14"/>
  <c r="Y10" i="14"/>
  <c r="Z2" i="14"/>
  <c r="Z3" i="14"/>
  <c r="Z4" i="14"/>
  <c r="Z5" i="14"/>
  <c r="Z6" i="14"/>
  <c r="Z7" i="14"/>
  <c r="Z8" i="14"/>
  <c r="Z9" i="14"/>
  <c r="Z10" i="14"/>
  <c r="Z11" i="14"/>
  <c r="Z12" i="14"/>
  <c r="Z13" i="14"/>
  <c r="Z14" i="14"/>
  <c r="Z15" i="14"/>
  <c r="Z16" i="14"/>
  <c r="Z17" i="14"/>
  <c r="Z18" i="14"/>
  <c r="Z19" i="14"/>
  <c r="Z20" i="14"/>
  <c r="Z21" i="14"/>
  <c r="Z22" i="14"/>
  <c r="Z23" i="14"/>
  <c r="Z24" i="14"/>
  <c r="Z25" i="14"/>
  <c r="Z26" i="14"/>
  <c r="Z27" i="14"/>
  <c r="Z28" i="14"/>
  <c r="Z29" i="14"/>
  <c r="Z30" i="14"/>
  <c r="Z31" i="14"/>
  <c r="Z32" i="14"/>
  <c r="Z33" i="14"/>
  <c r="Z34" i="14"/>
  <c r="Z35" i="14"/>
  <c r="Z36" i="14"/>
  <c r="Z37" i="14"/>
  <c r="Z38" i="14"/>
  <c r="Z39" i="14"/>
  <c r="Z40" i="14"/>
  <c r="Z41" i="14"/>
  <c r="Z42" i="14"/>
  <c r="Z43" i="14"/>
  <c r="Z44" i="14"/>
  <c r="Z45" i="14"/>
  <c r="Z46" i="14"/>
  <c r="Z47" i="14"/>
  <c r="Z48" i="14"/>
  <c r="Z49" i="14"/>
  <c r="Z50" i="14"/>
  <c r="Z51" i="14"/>
  <c r="Z52" i="14"/>
  <c r="Z53" i="14"/>
  <c r="Z54" i="14"/>
  <c r="Z55" i="14"/>
  <c r="Z56" i="14"/>
  <c r="Z57" i="14"/>
  <c r="Z58" i="14"/>
  <c r="Z59" i="14"/>
  <c r="Z60" i="14"/>
  <c r="Z61" i="14"/>
  <c r="Z62" i="14"/>
  <c r="Z63" i="14"/>
  <c r="Z64" i="14"/>
  <c r="Z65" i="14"/>
  <c r="Z66" i="14"/>
  <c r="Z67" i="14"/>
  <c r="Z68" i="14"/>
  <c r="Z69" i="14"/>
  <c r="Z70" i="14"/>
  <c r="Z71" i="14"/>
  <c r="Z72" i="14"/>
  <c r="Z73" i="14"/>
  <c r="Z74" i="14"/>
  <c r="Z75" i="14"/>
  <c r="Z76" i="14"/>
  <c r="Z77" i="14"/>
  <c r="Z78" i="14"/>
  <c r="Z79" i="14"/>
  <c r="Z80" i="14"/>
  <c r="AA2" i="14"/>
  <c r="AA3" i="14"/>
  <c r="AA4" i="14"/>
  <c r="AA5" i="14"/>
  <c r="AA6" i="14"/>
  <c r="AA7" i="14"/>
  <c r="AA8" i="14"/>
  <c r="AA9" i="14"/>
  <c r="AA10" i="14"/>
  <c r="AA11" i="14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A32" i="14"/>
  <c r="AA33" i="14"/>
  <c r="AA34" i="14"/>
  <c r="AA35" i="14"/>
  <c r="AA36" i="14"/>
  <c r="AA37" i="14"/>
  <c r="AA38" i="14"/>
  <c r="AA39" i="14"/>
  <c r="AA40" i="14"/>
  <c r="AA41" i="14"/>
  <c r="AA42" i="14"/>
  <c r="AA43" i="14"/>
  <c r="AA44" i="14"/>
  <c r="AA45" i="14"/>
  <c r="AA46" i="14"/>
  <c r="AA47" i="14"/>
  <c r="AA48" i="14"/>
  <c r="AA49" i="14"/>
  <c r="AA50" i="14"/>
  <c r="AA51" i="14"/>
  <c r="AA52" i="14"/>
  <c r="AA53" i="14"/>
  <c r="AA54" i="14"/>
  <c r="AA55" i="14"/>
  <c r="AA56" i="14"/>
  <c r="AA57" i="14"/>
  <c r="AA58" i="14"/>
  <c r="AA59" i="14"/>
  <c r="AA60" i="14"/>
  <c r="AA61" i="14"/>
  <c r="AA62" i="14"/>
  <c r="AA63" i="14"/>
  <c r="AA64" i="14"/>
  <c r="AA65" i="14"/>
  <c r="AA66" i="14"/>
  <c r="AA67" i="14"/>
  <c r="AA68" i="14"/>
  <c r="AA69" i="14"/>
  <c r="AA70" i="14"/>
  <c r="AA71" i="14"/>
  <c r="AA72" i="14"/>
  <c r="AA73" i="14"/>
  <c r="AA74" i="14"/>
  <c r="AA75" i="14"/>
  <c r="AA76" i="14"/>
  <c r="AA77" i="14"/>
  <c r="AA78" i="14"/>
  <c r="AA79" i="14"/>
  <c r="AA80" i="14"/>
  <c r="AB2" i="14"/>
  <c r="AB3" i="14"/>
  <c r="AB4" i="14"/>
  <c r="AB5" i="14"/>
  <c r="AB6" i="14"/>
  <c r="AB7" i="14"/>
  <c r="AB8" i="14"/>
  <c r="AB9" i="14"/>
  <c r="AB10" i="14"/>
  <c r="AB11" i="14"/>
  <c r="AB12" i="14"/>
  <c r="AB13" i="14"/>
  <c r="AB14" i="14"/>
  <c r="AB15" i="14"/>
  <c r="AB16" i="14"/>
  <c r="AB17" i="14"/>
  <c r="AB18" i="14"/>
  <c r="AB19" i="14"/>
  <c r="AB20" i="14"/>
  <c r="AB21" i="14"/>
  <c r="AB22" i="14"/>
  <c r="AB23" i="14"/>
  <c r="AB24" i="14"/>
  <c r="AB25" i="14"/>
  <c r="AB26" i="14"/>
  <c r="AB27" i="14"/>
  <c r="AB28" i="14"/>
  <c r="AB29" i="14"/>
  <c r="AB30" i="14"/>
  <c r="AB31" i="14"/>
  <c r="AB32" i="14"/>
  <c r="AB33" i="14"/>
  <c r="AB34" i="14"/>
  <c r="AB35" i="14"/>
  <c r="AB36" i="14"/>
  <c r="AB37" i="14"/>
  <c r="AB38" i="14"/>
  <c r="AB39" i="14"/>
  <c r="AB40" i="14"/>
  <c r="AB41" i="14"/>
  <c r="AB42" i="14"/>
  <c r="AB43" i="14"/>
  <c r="AB44" i="14"/>
  <c r="AB45" i="14"/>
  <c r="AB46" i="14"/>
  <c r="AB47" i="14"/>
  <c r="AB48" i="14"/>
  <c r="AB49" i="14"/>
  <c r="AB50" i="14"/>
  <c r="AB51" i="14"/>
  <c r="AB52" i="14"/>
  <c r="AB53" i="14"/>
  <c r="AB54" i="14"/>
  <c r="AB55" i="14"/>
  <c r="AB56" i="14"/>
  <c r="AB57" i="14"/>
  <c r="AB58" i="14"/>
  <c r="AB59" i="14"/>
  <c r="AB60" i="14"/>
  <c r="AB61" i="14"/>
  <c r="AB62" i="14"/>
  <c r="AB63" i="14"/>
  <c r="AB64" i="14"/>
  <c r="AB65" i="14"/>
  <c r="AB66" i="14"/>
  <c r="AB67" i="14"/>
  <c r="AB68" i="14"/>
  <c r="AB69" i="14"/>
  <c r="AB70" i="14"/>
  <c r="AB71" i="14"/>
  <c r="AB72" i="14"/>
  <c r="AB73" i="14"/>
  <c r="AB74" i="14"/>
  <c r="AB75" i="14"/>
  <c r="AB76" i="14"/>
  <c r="AB77" i="14"/>
  <c r="AB78" i="14"/>
  <c r="AB79" i="14"/>
  <c r="AB80" i="14"/>
  <c r="AG2" i="14"/>
  <c r="AG3" i="14"/>
  <c r="AG4" i="14"/>
  <c r="AG5" i="14"/>
  <c r="AG6" i="14"/>
  <c r="AG7" i="14"/>
  <c r="AG8" i="14"/>
  <c r="AG9" i="14"/>
  <c r="AG10" i="14"/>
  <c r="AG11" i="14"/>
  <c r="AG12" i="14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AG43" i="14"/>
  <c r="AG44" i="14"/>
  <c r="AG45" i="14"/>
  <c r="AG46" i="14"/>
  <c r="AG47" i="14"/>
  <c r="AG48" i="14"/>
  <c r="AG49" i="14"/>
  <c r="AG50" i="14"/>
  <c r="AG51" i="14"/>
  <c r="AG52" i="14"/>
  <c r="AG53" i="14"/>
  <c r="AG54" i="14"/>
  <c r="AG55" i="14"/>
  <c r="AG56" i="14"/>
  <c r="AG57" i="14"/>
  <c r="AG58" i="14"/>
  <c r="AG59" i="14"/>
  <c r="AG60" i="14"/>
  <c r="AG61" i="14"/>
  <c r="AG62" i="14"/>
  <c r="AG63" i="14"/>
  <c r="AG64" i="14"/>
  <c r="AG65" i="14"/>
  <c r="AG66" i="14"/>
  <c r="AG67" i="14"/>
  <c r="AG68" i="14"/>
  <c r="AG69" i="14"/>
  <c r="AG70" i="14"/>
  <c r="AG71" i="14"/>
  <c r="AG72" i="14"/>
  <c r="AG73" i="14"/>
  <c r="AG74" i="14"/>
  <c r="AG75" i="14"/>
  <c r="AG76" i="14"/>
  <c r="AG77" i="14"/>
  <c r="AG78" i="14"/>
  <c r="AG79" i="14"/>
  <c r="AG80" i="14"/>
  <c r="B11" i="16"/>
  <c r="D5" i="20"/>
  <c r="B5" i="20"/>
  <c r="B20" i="16"/>
  <c r="B21" i="16"/>
  <c r="B22" i="16"/>
  <c r="B23" i="16"/>
  <c r="B24" i="16"/>
  <c r="B25" i="16"/>
  <c r="B26" i="16"/>
  <c r="B27" i="16" a="1"/>
  <c r="B28" i="16" a="1"/>
  <c r="B15" i="16"/>
  <c r="D5" i="16"/>
  <c r="D6" i="16"/>
  <c r="D7" i="16"/>
  <c r="D4" i="16"/>
  <c r="E7" i="16"/>
  <c r="F7" i="16" s="1"/>
  <c r="G7" i="16" s="1"/>
  <c r="C7" i="16" a="1"/>
  <c r="B7" i="16"/>
  <c r="E6" i="16"/>
  <c r="F6" i="16" s="1"/>
  <c r="G6" i="16" s="1"/>
  <c r="C6" i="16" a="1"/>
  <c r="B6" i="16"/>
  <c r="E5" i="16"/>
  <c r="F5" i="16" s="1"/>
  <c r="G5" i="16" s="1"/>
  <c r="C5" i="16" a="1"/>
  <c r="B5" i="16"/>
  <c r="E4" i="16"/>
  <c r="F4" i="16" s="1"/>
  <c r="G4" i="16" s="1"/>
  <c r="C4" i="16" a="1"/>
  <c r="B4" i="16"/>
  <c r="B30" i="16"/>
  <c r="AD53" i="14" l="1"/>
  <c r="AD61" i="14"/>
  <c r="AC63" i="14"/>
  <c r="AC53" i="14"/>
  <c r="AC62" i="14"/>
  <c r="AC54" i="14"/>
  <c r="AC55" i="14"/>
  <c r="AC56" i="14"/>
  <c r="AC57" i="14"/>
  <c r="AC58" i="14"/>
  <c r="AC59" i="14"/>
  <c r="AC60" i="14"/>
  <c r="AC61" i="14"/>
  <c r="AC64" i="14"/>
  <c r="AD2" i="14"/>
  <c r="AC2" i="14"/>
  <c r="AD3" i="14"/>
  <c r="AC3" i="14"/>
  <c r="AC4" i="14"/>
  <c r="AD4" i="14"/>
  <c r="AC5" i="14"/>
  <c r="AD5" i="14"/>
  <c r="AC6" i="14"/>
  <c r="AD6" i="14"/>
  <c r="AD7" i="14"/>
  <c r="AC7" i="14"/>
  <c r="AD8" i="14"/>
  <c r="AC8" i="14"/>
  <c r="AC9" i="14"/>
  <c r="AD9" i="14"/>
  <c r="AC10" i="14"/>
  <c r="AD10" i="14"/>
  <c r="AC11" i="14"/>
  <c r="AD11" i="14"/>
  <c r="AC12" i="14"/>
  <c r="AD12" i="14"/>
  <c r="AC13" i="14"/>
  <c r="AD13" i="14"/>
  <c r="AD14" i="14"/>
  <c r="AC14" i="14"/>
  <c r="AD15" i="14"/>
  <c r="AC15" i="14"/>
  <c r="AD16" i="14"/>
  <c r="AC16" i="14"/>
  <c r="AD17" i="14"/>
  <c r="AC17" i="14"/>
  <c r="AD18" i="14"/>
  <c r="AC18" i="14"/>
  <c r="AD19" i="14"/>
  <c r="AC19" i="14"/>
  <c r="AC20" i="14"/>
  <c r="AD20" i="14"/>
  <c r="AD21" i="14"/>
  <c r="AC21" i="14"/>
  <c r="AD22" i="14"/>
  <c r="AC22" i="14"/>
  <c r="AD23" i="14"/>
  <c r="AC23" i="14"/>
  <c r="AD24" i="14"/>
  <c r="AC24" i="14"/>
  <c r="AD25" i="14"/>
  <c r="AC25" i="14"/>
  <c r="AC26" i="14"/>
  <c r="AD26" i="14"/>
  <c r="AD27" i="14"/>
  <c r="AC27" i="14"/>
  <c r="AD28" i="14"/>
  <c r="AC28" i="14"/>
  <c r="AD29" i="14"/>
  <c r="AC29" i="14"/>
  <c r="AD30" i="14"/>
  <c r="AC30" i="14"/>
  <c r="AD31" i="14"/>
  <c r="AC31" i="14"/>
  <c r="AD32" i="14"/>
  <c r="AC32" i="14"/>
  <c r="AD33" i="14"/>
  <c r="AC33" i="14"/>
  <c r="AD34" i="14"/>
  <c r="AC34" i="14"/>
  <c r="AC35" i="14"/>
  <c r="AD35" i="14"/>
  <c r="AC36" i="14"/>
  <c r="AD36" i="14"/>
  <c r="AC37" i="14"/>
  <c r="AD37" i="14"/>
  <c r="AC38" i="14"/>
  <c r="AD38" i="14"/>
  <c r="AC39" i="14"/>
  <c r="AD39" i="14"/>
  <c r="AC40" i="14"/>
  <c r="AD40" i="14"/>
  <c r="AD41" i="14"/>
  <c r="AC41" i="14"/>
  <c r="AC42" i="14"/>
  <c r="AD42" i="14"/>
  <c r="AC43" i="14"/>
  <c r="AD43" i="14"/>
  <c r="AC44" i="14"/>
  <c r="AD44" i="14"/>
  <c r="AC45" i="14"/>
  <c r="AD45" i="14"/>
  <c r="AD46" i="14"/>
  <c r="AC46" i="14"/>
  <c r="AC47" i="14"/>
  <c r="AD47" i="14"/>
  <c r="AC48" i="14"/>
  <c r="AD48" i="14"/>
  <c r="AC49" i="14"/>
  <c r="AD49" i="14"/>
  <c r="AD50" i="14"/>
  <c r="AC50" i="14"/>
  <c r="AC51" i="14"/>
  <c r="AD51" i="14"/>
  <c r="AD52" i="14"/>
  <c r="AC52" i="14"/>
  <c r="AF53" i="14"/>
  <c r="AE53" i="14"/>
  <c r="AF56" i="14"/>
  <c r="AE56" i="14"/>
  <c r="AF61" i="14"/>
  <c r="AE61" i="14"/>
  <c r="AF62" i="14"/>
  <c r="AE62" i="14"/>
  <c r="AD65" i="14"/>
  <c r="AC65" i="14"/>
  <c r="AD66" i="14"/>
  <c r="AC66" i="14"/>
  <c r="AD67" i="14"/>
  <c r="AC67" i="14"/>
  <c r="AC68" i="14"/>
  <c r="AD68" i="14"/>
  <c r="AC69" i="14"/>
  <c r="AD69" i="14"/>
  <c r="AC70" i="14"/>
  <c r="AD70" i="14"/>
  <c r="AC71" i="14"/>
  <c r="AD71" i="14"/>
  <c r="AD72" i="14"/>
  <c r="AC72" i="14"/>
  <c r="AD73" i="14"/>
  <c r="AC73" i="14"/>
  <c r="AC74" i="14"/>
  <c r="AD74" i="14"/>
  <c r="AC75" i="14"/>
  <c r="AD75" i="14"/>
  <c r="AD76" i="14"/>
  <c r="AC76" i="14"/>
  <c r="AC77" i="14"/>
  <c r="AD77" i="14"/>
  <c r="AC78" i="14"/>
  <c r="AD78" i="14"/>
  <c r="AD79" i="14"/>
  <c r="AC79" i="14"/>
  <c r="AC80" i="14"/>
  <c r="AD80" i="14"/>
  <c r="AD54" i="14"/>
  <c r="AD55" i="14"/>
  <c r="AD57" i="14"/>
  <c r="AD58" i="14"/>
  <c r="AD59" i="14"/>
  <c r="AD60" i="14"/>
  <c r="AD63" i="14"/>
  <c r="AD64" i="14"/>
  <c r="B16" i="16"/>
  <c r="C16" i="16" s="1"/>
  <c r="B29" i="16"/>
  <c r="AF2" i="14" l="1"/>
  <c r="AE2" i="14"/>
  <c r="AF3" i="14"/>
  <c r="AE3" i="14"/>
  <c r="AF4" i="14"/>
  <c r="AE4" i="14"/>
  <c r="AF5" i="14"/>
  <c r="AE5" i="14"/>
  <c r="D4" i="15" s="1"/>
  <c r="AF6" i="14"/>
  <c r="AE6" i="14"/>
  <c r="AF7" i="14"/>
  <c r="AE7" i="14"/>
  <c r="AF8" i="14"/>
  <c r="AE8" i="14"/>
  <c r="AF9" i="14"/>
  <c r="AE9" i="14"/>
  <c r="AF10" i="14"/>
  <c r="AE10" i="14"/>
  <c r="D9" i="15" s="1"/>
  <c r="AF11" i="14"/>
  <c r="AE11" i="14"/>
  <c r="AF12" i="14"/>
  <c r="AE12" i="14"/>
  <c r="AF13" i="14"/>
  <c r="AE13" i="14"/>
  <c r="AF14" i="14"/>
  <c r="AE14" i="14"/>
  <c r="AF15" i="14"/>
  <c r="AE15" i="14"/>
  <c r="AF16" i="14"/>
  <c r="AE16" i="14"/>
  <c r="AF17" i="14"/>
  <c r="AE17" i="14"/>
  <c r="AF18" i="14"/>
  <c r="AE18" i="14"/>
  <c r="AF19" i="14"/>
  <c r="AE19" i="14"/>
  <c r="AF20" i="14"/>
  <c r="AE20" i="14"/>
  <c r="AF21" i="14"/>
  <c r="AE21" i="14"/>
  <c r="AF22" i="14"/>
  <c r="AE22" i="14"/>
  <c r="AF23" i="14"/>
  <c r="AE23" i="14"/>
  <c r="AF24" i="14"/>
  <c r="AE24" i="14"/>
  <c r="AF25" i="14"/>
  <c r="AE25" i="14"/>
  <c r="AF26" i="14"/>
  <c r="AE26" i="14"/>
  <c r="AF27" i="14"/>
  <c r="AE27" i="14"/>
  <c r="AF28" i="14"/>
  <c r="AE28" i="14"/>
  <c r="AF29" i="14"/>
  <c r="AE29" i="14"/>
  <c r="AE30" i="14"/>
  <c r="AF30" i="14"/>
  <c r="AF31" i="14"/>
  <c r="AE31" i="14"/>
  <c r="AF32" i="14"/>
  <c r="AE32" i="14"/>
  <c r="AF33" i="14"/>
  <c r="AE33" i="14"/>
  <c r="AF34" i="14"/>
  <c r="AE34" i="14"/>
  <c r="AF35" i="14"/>
  <c r="AE35" i="14"/>
  <c r="AF36" i="14"/>
  <c r="AE36" i="14"/>
  <c r="AF37" i="14"/>
  <c r="AE37" i="14"/>
  <c r="AF38" i="14"/>
  <c r="AE38" i="14"/>
  <c r="AF39" i="14"/>
  <c r="AE39" i="14"/>
  <c r="AF40" i="14"/>
  <c r="AE40" i="14"/>
  <c r="AF41" i="14"/>
  <c r="AE41" i="14"/>
  <c r="AF42" i="14"/>
  <c r="AE42" i="14"/>
  <c r="AF43" i="14"/>
  <c r="AE43" i="14"/>
  <c r="AF44" i="14"/>
  <c r="AE44" i="14"/>
  <c r="AF45" i="14"/>
  <c r="AE45" i="14"/>
  <c r="AF46" i="14"/>
  <c r="AE46" i="14"/>
  <c r="AF47" i="14"/>
  <c r="AE47" i="14"/>
  <c r="AF48" i="14"/>
  <c r="AE48" i="14"/>
  <c r="AF49" i="14"/>
  <c r="AE49" i="14"/>
  <c r="AF50" i="14"/>
  <c r="AE50" i="14"/>
  <c r="AF51" i="14"/>
  <c r="AE51" i="14"/>
  <c r="AF52" i="14"/>
  <c r="AE52" i="14"/>
  <c r="AF65" i="14"/>
  <c r="AE65" i="14"/>
  <c r="AF66" i="14"/>
  <c r="AE66" i="14"/>
  <c r="AF67" i="14"/>
  <c r="AE67" i="14"/>
  <c r="AF68" i="14"/>
  <c r="AE68" i="14"/>
  <c r="AF69" i="14"/>
  <c r="AE69" i="14"/>
  <c r="AF70" i="14"/>
  <c r="AE70" i="14"/>
  <c r="AF71" i="14"/>
  <c r="AE71" i="14"/>
  <c r="AF72" i="14"/>
  <c r="AE72" i="14"/>
  <c r="AF73" i="14"/>
  <c r="AE73" i="14"/>
  <c r="AF74" i="14"/>
  <c r="AE74" i="14"/>
  <c r="AF75" i="14"/>
  <c r="AE75" i="14"/>
  <c r="AF76" i="14"/>
  <c r="AE76" i="14"/>
  <c r="AF77" i="14"/>
  <c r="AE77" i="14"/>
  <c r="AF78" i="14"/>
  <c r="AE78" i="14"/>
  <c r="AF79" i="14"/>
  <c r="AE79" i="14"/>
  <c r="AF80" i="14"/>
  <c r="AE80" i="14"/>
  <c r="AE54" i="14"/>
  <c r="AF54" i="14"/>
  <c r="AE55" i="14"/>
  <c r="AF55" i="14"/>
  <c r="AE57" i="14"/>
  <c r="AF57" i="14"/>
  <c r="AE58" i="14"/>
  <c r="AF58" i="14"/>
  <c r="AE59" i="14"/>
  <c r="AF59" i="14"/>
  <c r="AE60" i="14"/>
  <c r="AF60" i="14"/>
  <c r="AE63" i="14"/>
  <c r="AF63" i="14"/>
  <c r="AE64" i="14"/>
  <c r="AF64" i="14"/>
  <c r="B8" i="15"/>
  <c r="D6" i="15"/>
  <c r="D5" i="15"/>
  <c r="B4" i="15"/>
  <c r="B6" i="15"/>
  <c r="C4" i="15"/>
  <c r="C8" i="15"/>
  <c r="B11" i="15"/>
  <c r="C11" i="15"/>
  <c r="B12" i="16" s="1"/>
  <c r="B9" i="15"/>
  <c r="B7" i="15"/>
  <c r="B5" i="15"/>
  <c r="C9" i="15"/>
  <c r="C7" i="15"/>
  <c r="C6" i="15"/>
  <c r="C5" i="15"/>
  <c r="D7" i="15"/>
  <c r="F5" i="20" l="1"/>
  <c r="H5" i="20" s="1"/>
  <c r="J5" i="20"/>
  <c r="L5" i="20" s="1"/>
  <c r="D11" i="15"/>
  <c r="B10" i="15"/>
  <c r="B12" i="15" s="1"/>
  <c r="B13" i="15" s="1"/>
  <c r="C10" i="15"/>
  <c r="D8" i="15" l="1"/>
  <c r="D10" i="15" s="1"/>
  <c r="B13" i="16"/>
  <c r="B14" i="16" s="1"/>
  <c r="C14" i="16" s="1"/>
  <c r="C12" i="15"/>
  <c r="C13" i="1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20A2D6-013A-4105-BFF9-D55929AA0C3F}" keepAlive="1" name="Query - clean_Orders" description="Connection to the 'clean_Orders' query in the workbook." type="5" refreshedVersion="0" background="1">
    <dbPr connection="Provider=Microsoft.Mashup.OleDb.1;Data Source=$Workbook$;Location=clean_Orders;Extended Properties=&quot;&quot;" command="SELECT * FROM [clean_Orders]"/>
  </connection>
  <connection id="2" xr16:uid="{EF53C1A2-E252-41BF-9D1F-1DD7CC67C124}" keepAlive="1" name="Query - clean_Orders1" description="Connection to the 'clean_Orders' query in the workbook." type="5" refreshedVersion="8" background="1" saveData="1">
    <dbPr connection="Provider=Microsoft.Mashup.OleDb.1;Data Source=$Workbook$;Location=clean_Orders;Extended Properties=&quot;&quot;" command="SELECT * FROM [clean_Orders]"/>
  </connection>
  <connection id="3" xr16:uid="{9B44260C-F73F-45C4-AB2D-D896874ECF2D}" keepAlive="1" name="Query - clean_Payments" description="Connection to the 'clean_Payments' query in the workbook." type="5" refreshedVersion="8" background="1" saveData="1">
    <dbPr connection="Provider=Microsoft.Mashup.OleDb.1;Data Source=$Workbook$;Location=clean_Payments;Extended Properties=&quot;&quot;" command="SELECT * FROM [clean_Payments]"/>
  </connection>
  <connection id="4" xr16:uid="{8DFB2FBE-24A8-4E92-A205-E9C18F782297}" keepAlive="1" name="Query - clean_Refunds" description="Connection to the 'clean_Refunds' query in the workbook." type="5" refreshedVersion="8" background="1" saveData="1">
    <dbPr connection="Provider=Microsoft.Mashup.OleDb.1;Data Source=$Workbook$;Location=clean_Refunds;Extended Properties=&quot;&quot;" command="SELECT * FROM [clean_Refunds]"/>
  </connection>
  <connection id="5" xr16:uid="{3A9A6A3A-FEAA-4712-93A2-A0F5A2FA9532}" keepAlive="1" name="Query - clean_Returns" description="Connection to the 'clean_Returns' query in the workbook." type="5" refreshedVersion="8" background="1" saveData="1">
    <dbPr connection="Provider=Microsoft.Mashup.OleDb.1;Data Source=$Workbook$;Location=clean_Returns;Extended Properties=&quot;&quot;" command="SELECT * FROM [clean_Returns]"/>
  </connection>
  <connection id="6" xr16:uid="{76EAB535-39EE-461B-9451-719007FECC1F}" keepAlive="1" name="Query - raw_Orders" description="Connection to the 'raw_Orders' query in the workbook." type="5" refreshedVersion="0" background="1">
    <dbPr connection="Provider=Microsoft.Mashup.OleDb.1;Data Source=$Workbook$;Location=raw_Orders;Extended Properties=&quot;&quot;" command="SELECT * FROM [raw_Orders]"/>
  </connection>
  <connection id="7" xr16:uid="{E8B5606F-8234-4AA9-BA1B-421E79B423D9}" keepAlive="1" name="Query - raw_Payments" description="Connection to the 'raw_Payments' query in the workbook." type="5" refreshedVersion="0" background="1">
    <dbPr connection="Provider=Microsoft.Mashup.OleDb.1;Data Source=$Workbook$;Location=raw_Payments;Extended Properties=&quot;&quot;" command="SELECT * FROM [raw_Payments]"/>
  </connection>
  <connection id="8" xr16:uid="{5744F74A-C6D7-4CB5-83FB-A5032A7ADC6C}" keepAlive="1" name="Query - raw_Refunds" description="Connection to the 'raw_Refunds' query in the workbook." type="5" refreshedVersion="0" background="1">
    <dbPr connection="Provider=Microsoft.Mashup.OleDb.1;Data Source=$Workbook$;Location=raw_Refunds;Extended Properties=&quot;&quot;" command="SELECT * FROM [raw_Refunds]"/>
  </connection>
  <connection id="9" xr16:uid="{A728A12F-AA84-4255-BF40-DBE05D214758}" keepAlive="1" name="Query - raw_Returns" description="Connection to the 'raw_Returns' query in the workbook." type="5" refreshedVersion="0" background="1">
    <dbPr connection="Provider=Microsoft.Mashup.OleDb.1;Data Source=$Workbook$;Location=raw_Returns;Extended Properties=&quot;&quot;" command="SELECT * FROM [raw_Returns]"/>
  </connection>
  <connection id="10" xr16:uid="{902537A7-BB40-4067-BF9A-75606E978A5E}" keepAlive="1" name="Query - rec_Refunds" description="Connection to the 'rec_Refunds' query in the workbook." type="5" refreshedVersion="8" background="1" saveData="1">
    <dbPr connection="Provider=Microsoft.Mashup.OleDb.1;Data Source=$Workbook$;Location=rec_Refunds;Extended Properties=&quot;&quot;" command="SELECT * FROM [rec_Refunds]"/>
  </connection>
  <connection id="11" xr16:uid="{28049FCE-A432-434A-9492-B065099E32A7}" keepAlive="1" name="Query - stg_Orders" description="Connection to the 'stg_Orders' query in the workbook." type="5" refreshedVersion="0" background="1">
    <dbPr connection="Provider=Microsoft.Mashup.OleDb.1;Data Source=$Workbook$;Location=stg_Orders;Extended Properties=&quot;&quot;" command="SELECT * FROM [stg_Orders]"/>
  </connection>
  <connection id="12" xr16:uid="{C0FD25EB-2A9B-41FA-8622-447A651E5860}" keepAlive="1" name="Query - stg_Payments" description="Connection to the 'stg_Payments' query in the workbook." type="5" refreshedVersion="0" background="1">
    <dbPr connection="Provider=Microsoft.Mashup.OleDb.1;Data Source=$Workbook$;Location=stg_Payments;Extended Properties=&quot;&quot;" command="SELECT * FROM [stg_Payments]"/>
  </connection>
  <connection id="13" xr16:uid="{72D52A72-6B7E-482D-A874-8E65D207493A}" keepAlive="1" name="Query - stg_Refunds" description="Connection to the 'stg_Refunds' query in the workbook." type="5" refreshedVersion="0" background="1">
    <dbPr connection="Provider=Microsoft.Mashup.OleDb.1;Data Source=$Workbook$;Location=stg_Refunds;Extended Properties=&quot;&quot;" command="SELECT * FROM [stg_Refunds]"/>
  </connection>
  <connection id="14" xr16:uid="{1B615B81-60D2-4CAA-B0D9-F274EF94C987}" keepAlive="1" name="Query - stg_Returns" description="Connection to the 'stg_Returns' query in the workbook." type="5" refreshedVersion="0" background="1">
    <dbPr connection="Provider=Microsoft.Mashup.OleDb.1;Data Source=$Workbook$;Location=stg_Returns;Extended Properties=&quot;&quot;" command="SELECT * FROM [stg_Return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<sst xmlns="http://schemas.openxmlformats.org/spreadsheetml/2006/main" count="13284" uniqueCount="1654">
  <si>
    <t>Order_ID</t>
  </si>
  <si>
    <t>Order_Date</t>
  </si>
  <si>
    <t>Customer_ID</t>
  </si>
  <si>
    <t>Customer_Name</t>
  </si>
  <si>
    <t>City</t>
  </si>
  <si>
    <t>Category</t>
  </si>
  <si>
    <t>Product</t>
  </si>
  <si>
    <t>Quantity</t>
  </si>
  <si>
    <t>Unit_Price</t>
  </si>
  <si>
    <t>Order_Amount</t>
  </si>
  <si>
    <t>Order_Status</t>
  </si>
  <si>
    <t>UC-10303</t>
  </si>
  <si>
    <t>C1012</t>
  </si>
  <si>
    <t>Rohan Singh</t>
  </si>
  <si>
    <t>Mumbai</t>
  </si>
  <si>
    <t>Beauty</t>
  </si>
  <si>
    <t>Perfume</t>
  </si>
  <si>
    <t>Delivered</t>
  </si>
  <si>
    <t>UC-10390</t>
  </si>
  <si>
    <t>C1092</t>
  </si>
  <si>
    <t>Manish Verma</t>
  </si>
  <si>
    <t>Kolkata</t>
  </si>
  <si>
    <t>Fashion</t>
  </si>
  <si>
    <t>Jacket</t>
  </si>
  <si>
    <t>UC-10121</t>
  </si>
  <si>
    <t>Electronics</t>
  </si>
  <si>
    <t>Power Bank</t>
  </si>
  <si>
    <t>UC-10072</t>
  </si>
  <si>
    <t>C1024</t>
  </si>
  <si>
    <t>Isha Singh</t>
  </si>
  <si>
    <t>Chennai</t>
  </si>
  <si>
    <t>Earbuds</t>
  </si>
  <si>
    <t>UC-10251</t>
  </si>
  <si>
    <t>C1131</t>
  </si>
  <si>
    <t>Rahul Iyer</t>
  </si>
  <si>
    <t xml:space="preserve"> Mumbai </t>
  </si>
  <si>
    <t>Sports</t>
  </si>
  <si>
    <t>Dumbbell Set</t>
  </si>
  <si>
    <t xml:space="preserve"> Delivered </t>
  </si>
  <si>
    <t>UC-10190</t>
  </si>
  <si>
    <t>C1032</t>
  </si>
  <si>
    <t>Riya Singh</t>
  </si>
  <si>
    <t>FASHION</t>
  </si>
  <si>
    <t>Jeans</t>
  </si>
  <si>
    <t>UC-10206</t>
  </si>
  <si>
    <t>C1076</t>
  </si>
  <si>
    <t>Rohan Nair</t>
  </si>
  <si>
    <t>Home &amp; Kitchen</t>
  </si>
  <si>
    <t>Water Bottle</t>
  </si>
  <si>
    <t>UC-10215</t>
  </si>
  <si>
    <t>C1067</t>
  </si>
  <si>
    <t>Meera Nair</t>
  </si>
  <si>
    <t>Face Serum</t>
  </si>
  <si>
    <t>UC-10235</t>
  </si>
  <si>
    <t>C1034</t>
  </si>
  <si>
    <t>Kavya Nair</t>
  </si>
  <si>
    <t>Mixer Grinder</t>
  </si>
  <si>
    <t>UC-10300</t>
  </si>
  <si>
    <t>C1089</t>
  </si>
  <si>
    <t>Ananya Verma</t>
  </si>
  <si>
    <t>cancelled</t>
  </si>
  <si>
    <t>UC-10006</t>
  </si>
  <si>
    <t>C1122</t>
  </si>
  <si>
    <t>Manish Gupta</t>
  </si>
  <si>
    <t>Hyderabad</t>
  </si>
  <si>
    <t>UC-10142</t>
  </si>
  <si>
    <t>C1136</t>
  </si>
  <si>
    <t>Sneha Mehta</t>
  </si>
  <si>
    <t xml:space="preserve"> Electronics </t>
  </si>
  <si>
    <t>Bluetooth Speaker</t>
  </si>
  <si>
    <t>UC-10350</t>
  </si>
  <si>
    <t>C1143</t>
  </si>
  <si>
    <t>Rahul Mehta</t>
  </si>
  <si>
    <t>Pune</t>
  </si>
  <si>
    <t>UC-10380</t>
  </si>
  <si>
    <t>C1158</t>
  </si>
  <si>
    <t>Aarav Sharma</t>
  </si>
  <si>
    <t>electronics</t>
  </si>
  <si>
    <t>Cancelled</t>
  </si>
  <si>
    <t>UC-10210</t>
  </si>
  <si>
    <t>C1113</t>
  </si>
  <si>
    <t>Rahul Gupta</t>
  </si>
  <si>
    <t>UC-10047</t>
  </si>
  <si>
    <t>C1017</t>
  </si>
  <si>
    <t>Rohan Sharma</t>
  </si>
  <si>
    <t>hyderabad</t>
  </si>
  <si>
    <t>UC-10393</t>
  </si>
  <si>
    <t>C1057</t>
  </si>
  <si>
    <t>Isha Das</t>
  </si>
  <si>
    <t>Jaipur</t>
  </si>
  <si>
    <t>UC-10116</t>
  </si>
  <si>
    <t>UC-10102</t>
  </si>
  <si>
    <t>C1094</t>
  </si>
  <si>
    <t>Arjun Reddy</t>
  </si>
  <si>
    <t>UC-10179</t>
  </si>
  <si>
    <t>C1062</t>
  </si>
  <si>
    <t>HYDERABAD</t>
  </si>
  <si>
    <t>UC-10120</t>
  </si>
  <si>
    <t>C1139</t>
  </si>
  <si>
    <t>Neha Mehta</t>
  </si>
  <si>
    <t>Cookware Set</t>
  </si>
  <si>
    <t>UC-10349</t>
  </si>
  <si>
    <t>C1070</t>
  </si>
  <si>
    <t>Amit Nair</t>
  </si>
  <si>
    <t>Delhi</t>
  </si>
  <si>
    <t>UC-10253</t>
  </si>
  <si>
    <t>C1007</t>
  </si>
  <si>
    <t>Nikhil Reddy</t>
  </si>
  <si>
    <t>SPORTS</t>
  </si>
  <si>
    <t>UC-10062</t>
  </si>
  <si>
    <t>C1148</t>
  </si>
  <si>
    <t>Ananya Mehta</t>
  </si>
  <si>
    <t>UC-10289</t>
  </si>
  <si>
    <t>C1138</t>
  </si>
  <si>
    <t>Manish Das</t>
  </si>
  <si>
    <t>Smartwatch</t>
  </si>
  <si>
    <t>UC-10042</t>
  </si>
  <si>
    <t>C1135</t>
  </si>
  <si>
    <t>Riya Iyer</t>
  </si>
  <si>
    <t xml:space="preserve">Delhi </t>
  </si>
  <si>
    <t>delivered</t>
  </si>
  <si>
    <t>UC-10257</t>
  </si>
  <si>
    <t>C1106</t>
  </si>
  <si>
    <t>Vikram Iyer</t>
  </si>
  <si>
    <t>UC-10115</t>
  </si>
  <si>
    <t>C1026</t>
  </si>
  <si>
    <t>Priya Reddy</t>
  </si>
  <si>
    <t xml:space="preserve"> Home &amp; Kitchen </t>
  </si>
  <si>
    <t>Bedsheet Set</t>
  </si>
  <si>
    <t>UC-10293</t>
  </si>
  <si>
    <t>C1001</t>
  </si>
  <si>
    <t>Sneha Sharma</t>
  </si>
  <si>
    <t>UC-10339</t>
  </si>
  <si>
    <t>C1081</t>
  </si>
  <si>
    <t>Ananya Singh</t>
  </si>
  <si>
    <t>UC-10126</t>
  </si>
  <si>
    <t>C1114</t>
  </si>
  <si>
    <t>Ananya Nair</t>
  </si>
  <si>
    <t>T-Shirt</t>
  </si>
  <si>
    <t>UC-10077</t>
  </si>
  <si>
    <t>Amit Mehta</t>
  </si>
  <si>
    <t>Football</t>
  </si>
  <si>
    <t>UC-10377</t>
  </si>
  <si>
    <t>C1088</t>
  </si>
  <si>
    <t>Priya Das</t>
  </si>
  <si>
    <t>UC-10051</t>
  </si>
  <si>
    <t>C1079</t>
  </si>
  <si>
    <t>UC-10219</t>
  </si>
  <si>
    <t>21-02-2026</t>
  </si>
  <si>
    <t>C1093</t>
  </si>
  <si>
    <t>Riya Mehta</t>
  </si>
  <si>
    <t>Yoga Mat</t>
  </si>
  <si>
    <t>UC-10025</t>
  </si>
  <si>
    <t>20 Feb 2026</t>
  </si>
  <si>
    <t>UC-10234</t>
  </si>
  <si>
    <t>C1037</t>
  </si>
  <si>
    <t>Neha Singh</t>
  </si>
  <si>
    <t>UC-10340</t>
  </si>
  <si>
    <t>C1077</t>
  </si>
  <si>
    <t>UC-10286</t>
  </si>
  <si>
    <t>C1141</t>
  </si>
  <si>
    <t>Aarav Das</t>
  </si>
  <si>
    <t>Hair Dryer</t>
  </si>
  <si>
    <t>UC-10100</t>
  </si>
  <si>
    <t>C1059</t>
  </si>
  <si>
    <t>Rohan Patel</t>
  </si>
  <si>
    <t xml:space="preserve"> Delhi </t>
  </si>
  <si>
    <t>UC-10023</t>
  </si>
  <si>
    <t>C1120</t>
  </si>
  <si>
    <t>pooja reddy</t>
  </si>
  <si>
    <t>UC-10173</t>
  </si>
  <si>
    <t>UC-10139</t>
  </si>
  <si>
    <t>C1156</t>
  </si>
  <si>
    <t>Rohan Reddy</t>
  </si>
  <si>
    <t>UC-10035</t>
  </si>
  <si>
    <t>UC-10281</t>
  </si>
  <si>
    <t>C1061</t>
  </si>
  <si>
    <t>Riya Reddy</t>
  </si>
  <si>
    <t>UC-10277</t>
  </si>
  <si>
    <t>C1118</t>
  </si>
  <si>
    <t>Amit Gupta</t>
  </si>
  <si>
    <t>HOME &amp; KITCHEN</t>
  </si>
  <si>
    <t>UC-10064</t>
  </si>
  <si>
    <t>C1121</t>
  </si>
  <si>
    <t>Sneha Patel</t>
  </si>
  <si>
    <t xml:space="preserve">Kolkata </t>
  </si>
  <si>
    <t>UC-10056</t>
  </si>
  <si>
    <t>C1051</t>
  </si>
  <si>
    <t>UC-10264</t>
  </si>
  <si>
    <t>C1038</t>
  </si>
  <si>
    <t>Kavya Iyer</t>
  </si>
  <si>
    <t>UC-10167</t>
  </si>
  <si>
    <t>UC-10135</t>
  </si>
  <si>
    <t>C1109</t>
  </si>
  <si>
    <t>Rahul Reddy</t>
  </si>
  <si>
    <t xml:space="preserve"> Chennai </t>
  </si>
  <si>
    <t>Sneakers</t>
  </si>
  <si>
    <t>UC-10141</t>
  </si>
  <si>
    <t>C1103</t>
  </si>
  <si>
    <t xml:space="preserve">Chennai </t>
  </si>
  <si>
    <t>UC-10373</t>
  </si>
  <si>
    <t>C1039</t>
  </si>
  <si>
    <t>Sneha Das</t>
  </si>
  <si>
    <t>UC-10001</t>
  </si>
  <si>
    <t>C1099</t>
  </si>
  <si>
    <t>Rohan Das</t>
  </si>
  <si>
    <t>UC-10082</t>
  </si>
  <si>
    <t>C1127</t>
  </si>
  <si>
    <t>Priya Nair</t>
  </si>
  <si>
    <t>UC-10085</t>
  </si>
  <si>
    <t>C1068</t>
  </si>
  <si>
    <t>Karan Verma</t>
  </si>
  <si>
    <t>UC-10020</t>
  </si>
  <si>
    <t>UC-10328</t>
  </si>
  <si>
    <t xml:space="preserve"> Hyderabad </t>
  </si>
  <si>
    <t>UC-10049</t>
  </si>
  <si>
    <t>C1107</t>
  </si>
  <si>
    <t>Bengaluru</t>
  </si>
  <si>
    <t>UC-10186</t>
  </si>
  <si>
    <t xml:space="preserve">Fashion </t>
  </si>
  <si>
    <t xml:space="preserve">Delivered </t>
  </si>
  <si>
    <t>UC-10123</t>
  </si>
  <si>
    <t>DELIVERED</t>
  </si>
  <si>
    <t>UC-10046</t>
  </si>
  <si>
    <t xml:space="preserve">Electronics </t>
  </si>
  <si>
    <t>UC-10073</t>
  </si>
  <si>
    <t>C1040</t>
  </si>
  <si>
    <t>Rahul Verma</t>
  </si>
  <si>
    <t>UC-10048</t>
  </si>
  <si>
    <t>CHENNAI</t>
  </si>
  <si>
    <t>UC-10147</t>
  </si>
  <si>
    <t>UC-10131</t>
  </si>
  <si>
    <t>C1025</t>
  </si>
  <si>
    <t>N/A</t>
  </si>
  <si>
    <t>UC-10356</t>
  </si>
  <si>
    <t>C1064</t>
  </si>
  <si>
    <t xml:space="preserve">Hyderabad </t>
  </si>
  <si>
    <t>UC-10384</t>
  </si>
  <si>
    <t>C1151</t>
  </si>
  <si>
    <t xml:space="preserve"> Pune </t>
  </si>
  <si>
    <t>UC-10287</t>
  </si>
  <si>
    <t>C1153</t>
  </si>
  <si>
    <t>Karan Das</t>
  </si>
  <si>
    <t>UC-10191</t>
  </si>
  <si>
    <t>C1029</t>
  </si>
  <si>
    <t>Karan Nair</t>
  </si>
  <si>
    <t>UC-10034</t>
  </si>
  <si>
    <t>KOLKATA</t>
  </si>
  <si>
    <t>UC-10375</t>
  </si>
  <si>
    <t>C1053</t>
  </si>
  <si>
    <t>Sanjay Das</t>
  </si>
  <si>
    <t>UC-10004</t>
  </si>
  <si>
    <t>C1119</t>
  </si>
  <si>
    <t>Divya Patel</t>
  </si>
  <si>
    <t>UC-10218</t>
  </si>
  <si>
    <t>C1075</t>
  </si>
  <si>
    <t>Arjun Nair</t>
  </si>
  <si>
    <t>UC-10021</t>
  </si>
  <si>
    <t>C1011</t>
  </si>
  <si>
    <t>Karan Patel</t>
  </si>
  <si>
    <t>UC-10165</t>
  </si>
  <si>
    <t>C1129</t>
  </si>
  <si>
    <t>Divya Reddy</t>
  </si>
  <si>
    <t>UC-10140</t>
  </si>
  <si>
    <t>C1087</t>
  </si>
  <si>
    <t>riya nair</t>
  </si>
  <si>
    <t>home &amp; kitchen</t>
  </si>
  <si>
    <t>UC-10180</t>
  </si>
  <si>
    <t>C1147</t>
  </si>
  <si>
    <t>Karan Singh</t>
  </si>
  <si>
    <t>UC-10343</t>
  </si>
  <si>
    <t>C1060</t>
  </si>
  <si>
    <t>Riya Das</t>
  </si>
  <si>
    <t>UC-10066</t>
  </si>
  <si>
    <t>UC-10296</t>
  </si>
  <si>
    <t>C1096</t>
  </si>
  <si>
    <t>UC-10220</t>
  </si>
  <si>
    <t>DELHI</t>
  </si>
  <si>
    <t>UC-10037</t>
  </si>
  <si>
    <t>UC-10298</t>
  </si>
  <si>
    <t>C1033</t>
  </si>
  <si>
    <t>Pooja Reddy</t>
  </si>
  <si>
    <t>UC-10313</t>
  </si>
  <si>
    <t>C1097</t>
  </si>
  <si>
    <t>UC-10232</t>
  </si>
  <si>
    <t>C1124</t>
  </si>
  <si>
    <t>aarav gupta</t>
  </si>
  <si>
    <t>UC-10050</t>
  </si>
  <si>
    <t>C1098</t>
  </si>
  <si>
    <t>Isha Mehta</t>
  </si>
  <si>
    <t>UC-10137</t>
  </si>
  <si>
    <t>C1090</t>
  </si>
  <si>
    <t>meera singh</t>
  </si>
  <si>
    <t>UC-10163</t>
  </si>
  <si>
    <t>UC-10246</t>
  </si>
  <si>
    <t>C1031</t>
  </si>
  <si>
    <t>Vikram Reddy</t>
  </si>
  <si>
    <t>UC-10196</t>
  </si>
  <si>
    <t>UC-10169</t>
  </si>
  <si>
    <t>C1086</t>
  </si>
  <si>
    <t>Rahul Sharma</t>
  </si>
  <si>
    <t>UC-10399</t>
  </si>
  <si>
    <t>riya reddy</t>
  </si>
  <si>
    <t>UC-10391</t>
  </si>
  <si>
    <t>C1130</t>
  </si>
  <si>
    <t>Aarav Reddy</t>
  </si>
  <si>
    <t>UC-10268</t>
  </si>
  <si>
    <t>05/02/2026</t>
  </si>
  <si>
    <t>C1085</t>
  </si>
  <si>
    <t>Karan Sharma</t>
  </si>
  <si>
    <t xml:space="preserve">Cancelled </t>
  </si>
  <si>
    <t>UC-10150</t>
  </si>
  <si>
    <t>C1137</t>
  </si>
  <si>
    <t>Pooja Patel</t>
  </si>
  <si>
    <t>UC-10092</t>
  </si>
  <si>
    <t>C1157</t>
  </si>
  <si>
    <t>Meera Reddy</t>
  </si>
  <si>
    <t>UC-10057</t>
  </si>
  <si>
    <t>C1069</t>
  </si>
  <si>
    <t>Amit Patel</t>
  </si>
  <si>
    <t>UC-10084</t>
  </si>
  <si>
    <t>JAIPUR</t>
  </si>
  <si>
    <t>UC-10341</t>
  </si>
  <si>
    <t>UC-10134</t>
  </si>
  <si>
    <t>C1144</t>
  </si>
  <si>
    <t>Sneha Iyer</t>
  </si>
  <si>
    <t>UC-10080</t>
  </si>
  <si>
    <t>UC-10372</t>
  </si>
  <si>
    <t>beauty</t>
  </si>
  <si>
    <t>UC-10359</t>
  </si>
  <si>
    <t>C1035</t>
  </si>
  <si>
    <t>Priya Verma</t>
  </si>
  <si>
    <t xml:space="preserve">Home &amp; Kitchen </t>
  </si>
  <si>
    <t>UC-10266</t>
  </si>
  <si>
    <t>sneha iyer</t>
  </si>
  <si>
    <t>UC-10285</t>
  </si>
  <si>
    <t xml:space="preserve"> Bengaluru </t>
  </si>
  <si>
    <t>UC-10280</t>
  </si>
  <si>
    <t>C1036</t>
  </si>
  <si>
    <t>UC-10398</t>
  </si>
  <si>
    <t>Meera Singh</t>
  </si>
  <si>
    <t>UC-10369</t>
  </si>
  <si>
    <t>C1091</t>
  </si>
  <si>
    <t>UC-10329</t>
  </si>
  <si>
    <t>UC-10272</t>
  </si>
  <si>
    <t>C1045</t>
  </si>
  <si>
    <t>Vikram Patel</t>
  </si>
  <si>
    <t>BEAUTY</t>
  </si>
  <si>
    <t>UC-10154</t>
  </si>
  <si>
    <t>15-05-2026</t>
  </si>
  <si>
    <t>UC-10152</t>
  </si>
  <si>
    <t>25/03/2026</t>
  </si>
  <si>
    <t>UC-10365</t>
  </si>
  <si>
    <t>C1105</t>
  </si>
  <si>
    <t>Nikhil Iyer</t>
  </si>
  <si>
    <t>UC-10239</t>
  </si>
  <si>
    <t>UC-10117</t>
  </si>
  <si>
    <t>C1006</t>
  </si>
  <si>
    <t>Meera Das</t>
  </si>
  <si>
    <t>UC-10188</t>
  </si>
  <si>
    <t>UC-10192</t>
  </si>
  <si>
    <t>UC-10282</t>
  </si>
  <si>
    <t>UC-10211</t>
  </si>
  <si>
    <t>UC-10199</t>
  </si>
  <si>
    <t>UC-10071</t>
  </si>
  <si>
    <t>UC-10090</t>
  </si>
  <si>
    <t>C1015</t>
  </si>
  <si>
    <t>Neha Verma</t>
  </si>
  <si>
    <t>UC-10168</t>
  </si>
  <si>
    <t>C1073</t>
  </si>
  <si>
    <t>Karan Reddy</t>
  </si>
  <si>
    <t>UC-10146</t>
  </si>
  <si>
    <t>C1111</t>
  </si>
  <si>
    <t xml:space="preserve"> Fashion </t>
  </si>
  <si>
    <t>UC-10319</t>
  </si>
  <si>
    <t>C1082</t>
  </si>
  <si>
    <t>Neha Iyer</t>
  </si>
  <si>
    <t>UC-10367</t>
  </si>
  <si>
    <t>chennai</t>
  </si>
  <si>
    <t>UC-10335</t>
  </si>
  <si>
    <t>C1003</t>
  </si>
  <si>
    <t>UC-10015</t>
  </si>
  <si>
    <t>Riya Nair</t>
  </si>
  <si>
    <t xml:space="preserve">Beauty </t>
  </si>
  <si>
    <t>UC-10158</t>
  </si>
  <si>
    <t>UC-10387</t>
  </si>
  <si>
    <t>C1100</t>
  </si>
  <si>
    <t>UC-10101</t>
  </si>
  <si>
    <t>UC-10016</t>
  </si>
  <si>
    <t>C1160</t>
  </si>
  <si>
    <t>UC-10112</t>
  </si>
  <si>
    <t>C1117</t>
  </si>
  <si>
    <t>Pooja Mehta</t>
  </si>
  <si>
    <t>UC-10193</t>
  </si>
  <si>
    <t>UC-10259</t>
  </si>
  <si>
    <t>rahul verma</t>
  </si>
  <si>
    <t>UC-10258</t>
  </si>
  <si>
    <t>C1016</t>
  </si>
  <si>
    <t>Manish Patel</t>
  </si>
  <si>
    <t>UC-10324</t>
  </si>
  <si>
    <t>C1140</t>
  </si>
  <si>
    <t>Arjun Sharma</t>
  </si>
  <si>
    <t>UC-10164</t>
  </si>
  <si>
    <t>UC-10018</t>
  </si>
  <si>
    <t>UC-10307</t>
  </si>
  <si>
    <t>C1152</t>
  </si>
  <si>
    <t>Isha Nair</t>
  </si>
  <si>
    <t>UC-10038</t>
  </si>
  <si>
    <t>C1149</t>
  </si>
  <si>
    <t>Neha Das</t>
  </si>
  <si>
    <t>UC-10184</t>
  </si>
  <si>
    <t>C1132</t>
  </si>
  <si>
    <t>Arjun Patel</t>
  </si>
  <si>
    <t>ELECTRONICS</t>
  </si>
  <si>
    <t>UC-10160</t>
  </si>
  <si>
    <t>UC-10386</t>
  </si>
  <si>
    <t>UC-10255</t>
  </si>
  <si>
    <t>UC-10105</t>
  </si>
  <si>
    <t>UC-10106</t>
  </si>
  <si>
    <t>C1058</t>
  </si>
  <si>
    <t>Sneha Reddy</t>
  </si>
  <si>
    <t>UC-10110</t>
  </si>
  <si>
    <t>C1078</t>
  </si>
  <si>
    <t>UC-10176</t>
  </si>
  <si>
    <t>UC-10227</t>
  </si>
  <si>
    <t>C1142</t>
  </si>
  <si>
    <t>Pooja Singh</t>
  </si>
  <si>
    <t>UC-10348</t>
  </si>
  <si>
    <t>UC-10394</t>
  </si>
  <si>
    <t>UC-10312</t>
  </si>
  <si>
    <t>C1116</t>
  </si>
  <si>
    <t>Rohan Gupta</t>
  </si>
  <si>
    <t>UC-10170</t>
  </si>
  <si>
    <t>C1065</t>
  </si>
  <si>
    <t>UC-10189</t>
  </si>
  <si>
    <t>C1056</t>
  </si>
  <si>
    <t>Divya Singh</t>
  </si>
  <si>
    <t>UC-10209</t>
  </si>
  <si>
    <t>UC-10392</t>
  </si>
  <si>
    <t>UC-10269</t>
  </si>
  <si>
    <t>UC-10022</t>
  </si>
  <si>
    <t>UC-10044</t>
  </si>
  <si>
    <t>rohan singh</t>
  </si>
  <si>
    <t>UC-10183</t>
  </si>
  <si>
    <t>C1133</t>
  </si>
  <si>
    <t>Nikhil Patel</t>
  </si>
  <si>
    <t>UC-10074</t>
  </si>
  <si>
    <t xml:space="preserve"> Beauty </t>
  </si>
  <si>
    <t>UC-10237</t>
  </si>
  <si>
    <t>UC-10122</t>
  </si>
  <si>
    <t>C1108</t>
  </si>
  <si>
    <t>Arjun Iyer</t>
  </si>
  <si>
    <t>sports</t>
  </si>
  <si>
    <t>UC-10063</t>
  </si>
  <si>
    <t>C1072</t>
  </si>
  <si>
    <t>UC-10002</t>
  </si>
  <si>
    <t>C1028</t>
  </si>
  <si>
    <t>rohan reddy</t>
  </si>
  <si>
    <t>UC-10288</t>
  </si>
  <si>
    <t>C1145</t>
  </si>
  <si>
    <t>amit patel</t>
  </si>
  <si>
    <t>UC-10304</t>
  </si>
  <si>
    <t>UC-10256</t>
  </si>
  <si>
    <t>UC-10299</t>
  </si>
  <si>
    <t>UC-10036</t>
  </si>
  <si>
    <t>rohan sharma</t>
  </si>
  <si>
    <t>UC-10330</t>
  </si>
  <si>
    <t>C1074</t>
  </si>
  <si>
    <t>Vikram Singh</t>
  </si>
  <si>
    <t>UC-10166</t>
  </si>
  <si>
    <t>C1022</t>
  </si>
  <si>
    <t>Arjun Verma</t>
  </si>
  <si>
    <t xml:space="preserve">Bengaluru </t>
  </si>
  <si>
    <t>UC-10040</t>
  </si>
  <si>
    <t>UC-10026</t>
  </si>
  <si>
    <t>C1063</t>
  </si>
  <si>
    <t>UC-10128</t>
  </si>
  <si>
    <t>04-06-2026</t>
  </si>
  <si>
    <t>UC-10195</t>
  </si>
  <si>
    <t>UC-10114</t>
  </si>
  <si>
    <t>C1095</t>
  </si>
  <si>
    <t>Meera Iyer</t>
  </si>
  <si>
    <t>UC-10182</t>
  </si>
  <si>
    <t>C1014</t>
  </si>
  <si>
    <t>mumbai</t>
  </si>
  <si>
    <t>UC-10362</t>
  </si>
  <si>
    <t>C1101</t>
  </si>
  <si>
    <t>pooja verma</t>
  </si>
  <si>
    <t>UC-10187</t>
  </si>
  <si>
    <t>UC-10273</t>
  </si>
  <si>
    <t>C1102</t>
  </si>
  <si>
    <t>Pooja Iyer</t>
  </si>
  <si>
    <t>UC-10093</t>
  </si>
  <si>
    <t>UC-10314</t>
  </si>
  <si>
    <t>UC-10244</t>
  </si>
  <si>
    <t>UC-10295</t>
  </si>
  <si>
    <t>UC-10059</t>
  </si>
  <si>
    <t>C1104</t>
  </si>
  <si>
    <t>UC-10216</t>
  </si>
  <si>
    <t>C1126</t>
  </si>
  <si>
    <t>UC-10130</t>
  </si>
  <si>
    <t>rohan patel</t>
  </si>
  <si>
    <t>UC-10294</t>
  </si>
  <si>
    <t>UC-10278</t>
  </si>
  <si>
    <t>C1146</t>
  </si>
  <si>
    <t>Divya Das</t>
  </si>
  <si>
    <t>UC-10400</t>
  </si>
  <si>
    <t>C1043</t>
  </si>
  <si>
    <t>Kavya Verma</t>
  </si>
  <si>
    <t>UC-10270</t>
  </si>
  <si>
    <t>C1052</t>
  </si>
  <si>
    <t>Nikhil Gupta</t>
  </si>
  <si>
    <t>UC-10157</t>
  </si>
  <si>
    <t>delhi</t>
  </si>
  <si>
    <t>UC-10028</t>
  </si>
  <si>
    <t>UC-10029</t>
  </si>
  <si>
    <t>UC-10194</t>
  </si>
  <si>
    <t>UC-10118</t>
  </si>
  <si>
    <t>UC-10275</t>
  </si>
  <si>
    <t>UC-10347</t>
  </si>
  <si>
    <t>UC-10181</t>
  </si>
  <si>
    <t>UC-10366</t>
  </si>
  <si>
    <t>UC-10172</t>
  </si>
  <si>
    <t>UC-10370</t>
  </si>
  <si>
    <t>UC-10132</t>
  </si>
  <si>
    <t>UC-10279</t>
  </si>
  <si>
    <t>C1110</t>
  </si>
  <si>
    <t>UC-10039</t>
  </si>
  <si>
    <t>aarav das</t>
  </si>
  <si>
    <t>UC-10069</t>
  </si>
  <si>
    <t>C1128</t>
  </si>
  <si>
    <t>UC-10262</t>
  </si>
  <si>
    <t>UC-10198</t>
  </si>
  <si>
    <t>UC-10332</t>
  </si>
  <si>
    <t>UC-10197</t>
  </si>
  <si>
    <t>UC-10091</t>
  </si>
  <si>
    <t>UC-10318</t>
  </si>
  <si>
    <t>UC-10376</t>
  </si>
  <si>
    <t>UC-10290</t>
  </si>
  <si>
    <t>sanjay das</t>
  </si>
  <si>
    <t>UC-10322</t>
  </si>
  <si>
    <t>pune</t>
  </si>
  <si>
    <t>UC-10352</t>
  </si>
  <si>
    <t>UC-10144</t>
  </si>
  <si>
    <t>C1159</t>
  </si>
  <si>
    <t>Sanjay Mehta</t>
  </si>
  <si>
    <t>UC-10031</t>
  </si>
  <si>
    <t>UC-10159</t>
  </si>
  <si>
    <t>UC-10030</t>
  </si>
  <si>
    <t>UC-10111</t>
  </si>
  <si>
    <t>UC-10087</t>
  </si>
  <si>
    <t>C1010</t>
  </si>
  <si>
    <t>UC-10017</t>
  </si>
  <si>
    <t>UC-10207</t>
  </si>
  <si>
    <t>UC-10351</t>
  </si>
  <si>
    <t>09/04/2026</t>
  </si>
  <si>
    <t>UC-10129</t>
  </si>
  <si>
    <t>C1030</t>
  </si>
  <si>
    <t>Isha Gupta</t>
  </si>
  <si>
    <t>UC-10229</t>
  </si>
  <si>
    <t>C1155</t>
  </si>
  <si>
    <t>Kavya Mehta</t>
  </si>
  <si>
    <t>UC-10221</t>
  </si>
  <si>
    <t>UC-10212</t>
  </si>
  <si>
    <t>UC-10302</t>
  </si>
  <si>
    <t>C1009</t>
  </si>
  <si>
    <t>Aarav Gupta</t>
  </si>
  <si>
    <t>UC-10389</t>
  </si>
  <si>
    <t xml:space="preserve"> Kolkata </t>
  </si>
  <si>
    <t>UC-10382</t>
  </si>
  <si>
    <t>UC-10374</t>
  </si>
  <si>
    <t>UC-10261</t>
  </si>
  <si>
    <t>UC-10226</t>
  </si>
  <si>
    <t>UC-10315</t>
  </si>
  <si>
    <t>C1004</t>
  </si>
  <si>
    <t>UC-10013</t>
  </si>
  <si>
    <t>UC-10143</t>
  </si>
  <si>
    <t>C1080</t>
  </si>
  <si>
    <t>karan singh</t>
  </si>
  <si>
    <t>UC-10054</t>
  </si>
  <si>
    <t>UC-10061</t>
  </si>
  <si>
    <t>UC-10078</t>
  </si>
  <si>
    <t>UC-10127</t>
  </si>
  <si>
    <t>C1071</t>
  </si>
  <si>
    <t>UC-10267</t>
  </si>
  <si>
    <t>C1013</t>
  </si>
  <si>
    <t>UC-10265</t>
  </si>
  <si>
    <t>UC-10204</t>
  </si>
  <si>
    <t>UC-10052</t>
  </si>
  <si>
    <t>C1054</t>
  </si>
  <si>
    <t>Arjun Das</t>
  </si>
  <si>
    <t>UC-10252</t>
  </si>
  <si>
    <t>C1005</t>
  </si>
  <si>
    <t>Aarav Verma</t>
  </si>
  <si>
    <t>UC-10081</t>
  </si>
  <si>
    <t>MUMBAI</t>
  </si>
  <si>
    <t>UC-10103</t>
  </si>
  <si>
    <t>UC-10089</t>
  </si>
  <si>
    <t>UC-10067</t>
  </si>
  <si>
    <t>UC-10248</t>
  </si>
  <si>
    <t>UC-10338</t>
  </si>
  <si>
    <t>UC-10145</t>
  </si>
  <si>
    <t>UC-10107</t>
  </si>
  <si>
    <t>UC-10283</t>
  </si>
  <si>
    <t>UC-10326</t>
  </si>
  <si>
    <t>UC-10364</t>
  </si>
  <si>
    <t>UC-10291</t>
  </si>
  <si>
    <t>UC-10200</t>
  </si>
  <si>
    <t>UC-10395</t>
  </si>
  <si>
    <t>UC-10068</t>
  </si>
  <si>
    <t>UC-10240</t>
  </si>
  <si>
    <t>UC-10174</t>
  </si>
  <si>
    <t>C1055</t>
  </si>
  <si>
    <t>UC-10113</t>
  </si>
  <si>
    <t>priya reddy</t>
  </si>
  <si>
    <t>UC-10260</t>
  </si>
  <si>
    <t>UC-10323</t>
  </si>
  <si>
    <t>ananya verma</t>
  </si>
  <si>
    <t>UC-10225</t>
  </si>
  <si>
    <t>UC-10177</t>
  </si>
  <si>
    <t>UC-10241</t>
  </si>
  <si>
    <t>UC-10099</t>
  </si>
  <si>
    <t>UC-10148</t>
  </si>
  <si>
    <t>UC-10083</t>
  </si>
  <si>
    <t>UC-10325</t>
  </si>
  <si>
    <t>UC-10342</t>
  </si>
  <si>
    <t>C1021</t>
  </si>
  <si>
    <t>UC-10230</t>
  </si>
  <si>
    <t>UC-10178</t>
  </si>
  <si>
    <t>UC-10311</t>
  </si>
  <si>
    <t>UC-10331</t>
  </si>
  <si>
    <t>UC-10334</t>
  </si>
  <si>
    <t>UC-10009</t>
  </si>
  <si>
    <t>UC-10138</t>
  </si>
  <si>
    <t>UC-10033</t>
  </si>
  <si>
    <t>C1008</t>
  </si>
  <si>
    <t>UC-10308</t>
  </si>
  <si>
    <t>UC-10162</t>
  </si>
  <si>
    <t>UC-10397</t>
  </si>
  <si>
    <t>UC-10381</t>
  </si>
  <si>
    <t>UC-10271</t>
  </si>
  <si>
    <t>C1023</t>
  </si>
  <si>
    <t>UC-10032</t>
  </si>
  <si>
    <t>UC-10119</t>
  </si>
  <si>
    <t>UC-10305</t>
  </si>
  <si>
    <t>C1154</t>
  </si>
  <si>
    <t>UC-10263</t>
  </si>
  <si>
    <t xml:space="preserve">Sports </t>
  </si>
  <si>
    <t>UC-10327</t>
  </si>
  <si>
    <t>UC-10205</t>
  </si>
  <si>
    <t>UC-10368</t>
  </si>
  <si>
    <t>UC-10019</t>
  </si>
  <si>
    <t>UC-10149</t>
  </si>
  <si>
    <t>UC-10284</t>
  </si>
  <si>
    <t>UC-10306</t>
  </si>
  <si>
    <t>C1134</t>
  </si>
  <si>
    <t>UC-10297</t>
  </si>
  <si>
    <t>UC-10254</t>
  </si>
  <si>
    <t>UC-10213</t>
  </si>
  <si>
    <t>UC-10222</t>
  </si>
  <si>
    <t>C1123</t>
  </si>
  <si>
    <t>Ananya Gupta</t>
  </si>
  <si>
    <t>UC-10053</t>
  </si>
  <si>
    <t>UC-10005</t>
  </si>
  <si>
    <t>UC-10171</t>
  </si>
  <si>
    <t xml:space="preserve">Mumbai </t>
  </si>
  <si>
    <t>UC-10027</t>
  </si>
  <si>
    <t>UC-10201</t>
  </si>
  <si>
    <t>UC-10292</t>
  </si>
  <si>
    <t>06 Jan 2026</t>
  </si>
  <si>
    <t>UC-10151</t>
  </si>
  <si>
    <t>UC-10104</t>
  </si>
  <si>
    <t>UC-10125</t>
  </si>
  <si>
    <t>UC-10396</t>
  </si>
  <si>
    <t>UC-10011</t>
  </si>
  <si>
    <t>UC-10242</t>
  </si>
  <si>
    <t>vikram singh</t>
  </si>
  <si>
    <t>UC-10249</t>
  </si>
  <si>
    <t>UC-10228</t>
  </si>
  <si>
    <t>UC-10079</t>
  </si>
  <si>
    <t>C1083</t>
  </si>
  <si>
    <t xml:space="preserve">Jaipur </t>
  </si>
  <si>
    <t>UC-10086</t>
  </si>
  <si>
    <t>UC-10378</t>
  </si>
  <si>
    <t>pooja singh</t>
  </si>
  <si>
    <t>UC-10012</t>
  </si>
  <si>
    <t>UC-10217</t>
  </si>
  <si>
    <t>UC-10243</t>
  </si>
  <si>
    <t>UC-10076</t>
  </si>
  <si>
    <t>UC-10238</t>
  </si>
  <si>
    <t>UC-10358</t>
  </si>
  <si>
    <t>UC-10357</t>
  </si>
  <si>
    <t>fashion</t>
  </si>
  <si>
    <t>UC-10353</t>
  </si>
  <si>
    <t>PUNE</t>
  </si>
  <si>
    <t>UC-10276</t>
  </si>
  <si>
    <t>UC-10321</t>
  </si>
  <si>
    <t>UC-10224</t>
  </si>
  <si>
    <t>UC-10124</t>
  </si>
  <si>
    <t>UC-10360</t>
  </si>
  <si>
    <t>UC-10075</t>
  </si>
  <si>
    <t>UC-10333</t>
  </si>
  <si>
    <t>UC-10247</t>
  </si>
  <si>
    <t>UC-10108</t>
  </si>
  <si>
    <t xml:space="preserve"> Cancelled </t>
  </si>
  <si>
    <t>UC-10014</t>
  </si>
  <si>
    <t>UC-10097</t>
  </si>
  <si>
    <t>UC-10058</t>
  </si>
  <si>
    <t>bengaluru</t>
  </si>
  <si>
    <t>UC-10098</t>
  </si>
  <si>
    <t>UC-10008</t>
  </si>
  <si>
    <t>UC-10070</t>
  </si>
  <si>
    <t>UC-10065</t>
  </si>
  <si>
    <t>C1042</t>
  </si>
  <si>
    <t>Aarav Iyer</t>
  </si>
  <si>
    <t>UC-10045</t>
  </si>
  <si>
    <t>UC-10155</t>
  </si>
  <si>
    <t>UC-10379</t>
  </si>
  <si>
    <t>UC-10346</t>
  </si>
  <si>
    <t>UC-10363</t>
  </si>
  <si>
    <t>UC-10385</t>
  </si>
  <si>
    <t>UC-10354</t>
  </si>
  <si>
    <t>UC-10185</t>
  </si>
  <si>
    <t>UC-10316</t>
  </si>
  <si>
    <t>UC-10317</t>
  </si>
  <si>
    <t>UC-10156</t>
  </si>
  <si>
    <t>UC-10250</t>
  </si>
  <si>
    <t>Pooja Verma</t>
  </si>
  <si>
    <t>UC-10309</t>
  </si>
  <si>
    <t>UC-10337</t>
  </si>
  <si>
    <t>UC-10208</t>
  </si>
  <si>
    <t>C1112</t>
  </si>
  <si>
    <t>UC-10355</t>
  </si>
  <si>
    <t>UC-10236</t>
  </si>
  <si>
    <t>UC-10245</t>
  </si>
  <si>
    <t>UC-10336</t>
  </si>
  <si>
    <t>karan sharma</t>
  </si>
  <si>
    <t>UC-10088</t>
  </si>
  <si>
    <t>UC-10007</t>
  </si>
  <si>
    <t>UC-10060</t>
  </si>
  <si>
    <t>UC-10203</t>
  </si>
  <si>
    <t>UC-10003</t>
  </si>
  <si>
    <t>UC-10010</t>
  </si>
  <si>
    <t>UC-10274</t>
  </si>
  <si>
    <t>UC-10223</t>
  </si>
  <si>
    <t>UC-10055</t>
  </si>
  <si>
    <t>UC-10345</t>
  </si>
  <si>
    <t>UC-10133</t>
  </si>
  <si>
    <t>UC-10310</t>
  </si>
  <si>
    <t>UC-10383</t>
  </si>
  <si>
    <t>UC-10041</t>
  </si>
  <si>
    <t>UC-10095</t>
  </si>
  <si>
    <t>UC-10109</t>
  </si>
  <si>
    <t>UC-10096</t>
  </si>
  <si>
    <t>BENGALURU</t>
  </si>
  <si>
    <t>UC-10175</t>
  </si>
  <si>
    <t>UC-10136</t>
  </si>
  <si>
    <t>UC-10320</t>
  </si>
  <si>
    <t>UC-10231</t>
  </si>
  <si>
    <t>UC-10344</t>
  </si>
  <si>
    <t>UC-10388</t>
  </si>
  <si>
    <t>C1125</t>
  </si>
  <si>
    <t>Amit Reddy</t>
  </si>
  <si>
    <t>UC-10233</t>
  </si>
  <si>
    <t>C1041</t>
  </si>
  <si>
    <t>UC-10371</t>
  </si>
  <si>
    <t>UC-10301</t>
  </si>
  <si>
    <t>UC-10161</t>
  </si>
  <si>
    <t>UC-10153</t>
  </si>
  <si>
    <t>UC-10361</t>
  </si>
  <si>
    <t>UC-10214</t>
  </si>
  <si>
    <t>UC-10043</t>
  </si>
  <si>
    <t>UC-10024</t>
  </si>
  <si>
    <t>UC-10202</t>
  </si>
  <si>
    <t>UC-10094</t>
  </si>
  <si>
    <t>Payment_ID</t>
  </si>
  <si>
    <t>Payment_Date</t>
  </si>
  <si>
    <t>Payment_Mode</t>
  </si>
  <si>
    <t>Amount_Paid</t>
  </si>
  <si>
    <t>Payment_Status</t>
  </si>
  <si>
    <t>P-50183</t>
  </si>
  <si>
    <t>COD</t>
  </si>
  <si>
    <t>Success</t>
  </si>
  <si>
    <t>P-50006</t>
  </si>
  <si>
    <t>Net Banking</t>
  </si>
  <si>
    <t>P-50111</t>
  </si>
  <si>
    <t>Debit Card</t>
  </si>
  <si>
    <t>P-50291</t>
  </si>
  <si>
    <t>Credit Card</t>
  </si>
  <si>
    <t>P-50133</t>
  </si>
  <si>
    <t>UPI</t>
  </si>
  <si>
    <t>P-50031</t>
  </si>
  <si>
    <t>Failed</t>
  </si>
  <si>
    <t>P-50360</t>
  </si>
  <si>
    <t>P-50219</t>
  </si>
  <si>
    <t>P-50232</t>
  </si>
  <si>
    <t>P-50107</t>
  </si>
  <si>
    <t>P-50324</t>
  </si>
  <si>
    <t>P-50121</t>
  </si>
  <si>
    <t>CC</t>
  </si>
  <si>
    <t>P-50235</t>
  </si>
  <si>
    <t>P-50364</t>
  </si>
  <si>
    <t>P-50327</t>
  </si>
  <si>
    <t>P-50166</t>
  </si>
  <si>
    <t>P-50137</t>
  </si>
  <si>
    <t>P-50066</t>
  </si>
  <si>
    <t>P-50244</t>
  </si>
  <si>
    <t>P-50349</t>
  </si>
  <si>
    <t>P-50278</t>
  </si>
  <si>
    <t>P-50013</t>
  </si>
  <si>
    <t>P-50145</t>
  </si>
  <si>
    <t>P-50027</t>
  </si>
  <si>
    <t>P-50058</t>
  </si>
  <si>
    <t>success</t>
  </si>
  <si>
    <t>P-50073</t>
  </si>
  <si>
    <t>P-50330</t>
  </si>
  <si>
    <t>P-50053</t>
  </si>
  <si>
    <t>P-50140</t>
  </si>
  <si>
    <t xml:space="preserve">Success </t>
  </si>
  <si>
    <t>P-50359</t>
  </si>
  <si>
    <t>P-50260</t>
  </si>
  <si>
    <t>P-50249</t>
  </si>
  <si>
    <t>cod</t>
  </si>
  <si>
    <t>P-50321</t>
  </si>
  <si>
    <t>P-50339</t>
  </si>
  <si>
    <t>P-50365</t>
  </si>
  <si>
    <t>P-50270</t>
  </si>
  <si>
    <t>P-50068</t>
  </si>
  <si>
    <t>NetBanking</t>
  </si>
  <si>
    <t>P-50059</t>
  </si>
  <si>
    <t>P-50054</t>
  </si>
  <si>
    <t>P-50045</t>
  </si>
  <si>
    <t>P-50253</t>
  </si>
  <si>
    <t>DC</t>
  </si>
  <si>
    <t>P-50174</t>
  </si>
  <si>
    <t>P-50156</t>
  </si>
  <si>
    <t>P-50019</t>
  </si>
  <si>
    <t>P-50010</t>
  </si>
  <si>
    <t>P-50154</t>
  </si>
  <si>
    <t>P-50283</t>
  </si>
  <si>
    <t>P-50035</t>
  </si>
  <si>
    <t>P-50165</t>
  </si>
  <si>
    <t>P-50149</t>
  </si>
  <si>
    <t>P-50176</t>
  </si>
  <si>
    <t>P-50075</t>
  </si>
  <si>
    <t>P-50246</t>
  </si>
  <si>
    <t>P-50039</t>
  </si>
  <si>
    <t>P-50334</t>
  </si>
  <si>
    <t>P-50152</t>
  </si>
  <si>
    <t>P-50293</t>
  </si>
  <si>
    <t>P-50051</t>
  </si>
  <si>
    <t>P-50196</t>
  </si>
  <si>
    <t>P-50052</t>
  </si>
  <si>
    <t>P-50024</t>
  </si>
  <si>
    <t>P-50065</t>
  </si>
  <si>
    <t>P-50226</t>
  </si>
  <si>
    <t>P-50143</t>
  </si>
  <si>
    <t>credit card</t>
  </si>
  <si>
    <t>P-50118</t>
  </si>
  <si>
    <t>P-50187</t>
  </si>
  <si>
    <t>P-50229</t>
  </si>
  <si>
    <t>P-50040</t>
  </si>
  <si>
    <t>P-50239</t>
  </si>
  <si>
    <t>P-50268</t>
  </si>
  <si>
    <t>P-50041</t>
  </si>
  <si>
    <t>P-50248</t>
  </si>
  <si>
    <t>P-50356</t>
  </si>
  <si>
    <t>P-50357</t>
  </si>
  <si>
    <t>Upi</t>
  </si>
  <si>
    <t>P-50212</t>
  </si>
  <si>
    <t>P-50147</t>
  </si>
  <si>
    <t>P-50262</t>
  </si>
  <si>
    <t>SUCCESS</t>
  </si>
  <si>
    <t>P-50254</t>
  </si>
  <si>
    <t>P-50358</t>
  </si>
  <si>
    <t>P-50264</t>
  </si>
  <si>
    <t>P-50038</t>
  </si>
  <si>
    <t>P-50185</t>
  </si>
  <si>
    <t>P-50034</t>
  </si>
  <si>
    <t>P-50180</t>
  </si>
  <si>
    <t>P-50144</t>
  </si>
  <si>
    <t>P-50126</t>
  </si>
  <si>
    <t>P-50172</t>
  </si>
  <si>
    <t>P-50170</t>
  </si>
  <si>
    <t>P-50281</t>
  </si>
  <si>
    <t>P-50104</t>
  </si>
  <si>
    <t>P-50200</t>
  </si>
  <si>
    <t>P-50164</t>
  </si>
  <si>
    <t>P-50129</t>
  </si>
  <si>
    <t>P-50162</t>
  </si>
  <si>
    <t>P-50142</t>
  </si>
  <si>
    <t>P-50077</t>
  </si>
  <si>
    <t>P-50285</t>
  </si>
  <si>
    <t>P-50135</t>
  </si>
  <si>
    <t>P-50370</t>
  </si>
  <si>
    <t>P-50089</t>
  </si>
  <si>
    <t>P-50168</t>
  </si>
  <si>
    <t>P-50312</t>
  </si>
  <si>
    <t>P-50319</t>
  </si>
  <si>
    <t>P-50082</t>
  </si>
  <si>
    <t>P-50209</t>
  </si>
  <si>
    <t>P-50320</t>
  </si>
  <si>
    <t>P-50151</t>
  </si>
  <si>
    <t>P-50220</t>
  </si>
  <si>
    <t>P-50112</t>
  </si>
  <si>
    <t>P-50227</t>
  </si>
  <si>
    <t>P-50086</t>
  </si>
  <si>
    <t>P-50141</t>
  </si>
  <si>
    <t>P-50242</t>
  </si>
  <si>
    <t>P-50029</t>
  </si>
  <si>
    <t>P-50286</t>
  </si>
  <si>
    <t>P-50271</t>
  </si>
  <si>
    <t>P-50367</t>
  </si>
  <si>
    <t>P-50169</t>
  </si>
  <si>
    <t>P-50342</t>
  </si>
  <si>
    <t>P-50215</t>
  </si>
  <si>
    <t>P-50119</t>
  </si>
  <si>
    <t>P-50153</t>
  </si>
  <si>
    <t>P-50280</t>
  </si>
  <si>
    <t>P-50184</t>
  </si>
  <si>
    <t>P-50287</t>
  </si>
  <si>
    <t>P-50014</t>
  </si>
  <si>
    <t>P-50139</t>
  </si>
  <si>
    <t>P-50363</t>
  </si>
  <si>
    <t>P-50289</t>
  </si>
  <si>
    <t>P-50063</t>
  </si>
  <si>
    <t>P-50191</t>
  </si>
  <si>
    <t>P-50124</t>
  </si>
  <si>
    <t>P-50328</t>
  </si>
  <si>
    <t>P-50115</t>
  </si>
  <si>
    <t>P-50044</t>
  </si>
  <si>
    <t>P-50120</t>
  </si>
  <si>
    <t>P-50078</t>
  </si>
  <si>
    <t>P-50023</t>
  </si>
  <si>
    <t>P-50128</t>
  </si>
  <si>
    <t>P-50033</t>
  </si>
  <si>
    <t>P-50009</t>
  </si>
  <si>
    <t>P-50295</t>
  </si>
  <si>
    <t>P-50205</t>
  </si>
  <si>
    <t>P-50341</t>
  </si>
  <si>
    <t>P-50263</t>
  </si>
  <si>
    <t>P-50236</t>
  </si>
  <si>
    <t>P-50099</t>
  </si>
  <si>
    <t>P-50182</t>
  </si>
  <si>
    <t>P-50167</t>
  </si>
  <si>
    <t>P-50304</t>
  </si>
  <si>
    <t>P-50374</t>
  </si>
  <si>
    <t>UC-99998</t>
  </si>
  <si>
    <t>P-50237</t>
  </si>
  <si>
    <t>P-50178</t>
  </si>
  <si>
    <t>P-50202</t>
  </si>
  <si>
    <t>P-50306</t>
  </si>
  <si>
    <t>P-50114</t>
  </si>
  <si>
    <t>P-50335</t>
  </si>
  <si>
    <t>P-50012</t>
  </si>
  <si>
    <t>upi</t>
  </si>
  <si>
    <t>P-50190</t>
  </si>
  <si>
    <t>P-50005</t>
  </si>
  <si>
    <t>P-50308</t>
  </si>
  <si>
    <t>P-50181</t>
  </si>
  <si>
    <t>P-50049</t>
  </si>
  <si>
    <t>failed</t>
  </si>
  <si>
    <t>P-50106</t>
  </si>
  <si>
    <t>P-50372</t>
  </si>
  <si>
    <t>P-50201</t>
  </si>
  <si>
    <t>P-50159</t>
  </si>
  <si>
    <t>P-50116</t>
  </si>
  <si>
    <t>P-50282</t>
  </si>
  <si>
    <t>P-50338</t>
  </si>
  <si>
    <t>P-50072</t>
  </si>
  <si>
    <t>P-50136</t>
  </si>
  <si>
    <t>P-50368</t>
  </si>
  <si>
    <t>P-50325</t>
  </si>
  <si>
    <t>P-50307</t>
  </si>
  <si>
    <t>P-50275</t>
  </si>
  <si>
    <t>P-50188</t>
  </si>
  <si>
    <t>P-50331</t>
  </si>
  <si>
    <t>P-50117</t>
  </si>
  <si>
    <t>P-50277</t>
  </si>
  <si>
    <t>P-50222</t>
  </si>
  <si>
    <t>09-05-2026</t>
  </si>
  <si>
    <t>P-50315</t>
  </si>
  <si>
    <t>P-50092</t>
  </si>
  <si>
    <t>P-50318</t>
  </si>
  <si>
    <t>P-50369</t>
  </si>
  <si>
    <t>P-50207</t>
  </si>
  <si>
    <t>P-50256</t>
  </si>
  <si>
    <t>P-50216</t>
  </si>
  <si>
    <t>P-50093</t>
  </si>
  <si>
    <t>P-50062</t>
  </si>
  <si>
    <t>P-50081</t>
  </si>
  <si>
    <t>P-50230</t>
  </si>
  <si>
    <t>P-50175</t>
  </si>
  <si>
    <t>P-50095</t>
  </si>
  <si>
    <t>P-50199</t>
  </si>
  <si>
    <t>P-50110</t>
  </si>
  <si>
    <t>P-50206</t>
  </si>
  <si>
    <t>P-50279</t>
  </si>
  <si>
    <t>P-50194</t>
  </si>
  <si>
    <t>P-50122</t>
  </si>
  <si>
    <t>P-50225</t>
  </si>
  <si>
    <t>P-50296</t>
  </si>
  <si>
    <t>P-50240</t>
  </si>
  <si>
    <t>P-50340</t>
  </si>
  <si>
    <t>P-50294</t>
  </si>
  <si>
    <t>P-50243</t>
  </si>
  <si>
    <t>P-50298</t>
  </si>
  <si>
    <t>P-50272</t>
  </si>
  <si>
    <t>P-50316</t>
  </si>
  <si>
    <t>P-50055</t>
  </si>
  <si>
    <t>P-50025</t>
  </si>
  <si>
    <t>P-50011</t>
  </si>
  <si>
    <t>07-01-2026</t>
  </si>
  <si>
    <t>P-50348</t>
  </si>
  <si>
    <t>P-50228</t>
  </si>
  <si>
    <t>P-50361</t>
  </si>
  <si>
    <t>P-50002</t>
  </si>
  <si>
    <t>P-50366</t>
  </si>
  <si>
    <t>P-50265</t>
  </si>
  <si>
    <t>P-50255</t>
  </si>
  <si>
    <t>P-50355</t>
  </si>
  <si>
    <t>P-50026</t>
  </si>
  <si>
    <t>P-50343</t>
  </si>
  <si>
    <t>P-50173</t>
  </si>
  <si>
    <t>P-50322</t>
  </si>
  <si>
    <t>P-50123</t>
  </si>
  <si>
    <t>P-50061</t>
  </si>
  <si>
    <t>P-50150</t>
  </si>
  <si>
    <t>P-50008</t>
  </si>
  <si>
    <t>P-50292</t>
  </si>
  <si>
    <t>P-50017</t>
  </si>
  <si>
    <t>P-50071</t>
  </si>
  <si>
    <t>P-50032</t>
  </si>
  <si>
    <t>P-50299</t>
  </si>
  <si>
    <t>P-50022</t>
  </si>
  <si>
    <t>P-50313</t>
  </si>
  <si>
    <t>P-50021</t>
  </si>
  <si>
    <t>P-50043</t>
  </si>
  <si>
    <t>P-50163</t>
  </si>
  <si>
    <t>P-50223</t>
  </si>
  <si>
    <t>P-50028</t>
  </si>
  <si>
    <t>P-50160</t>
  </si>
  <si>
    <t>P-50314</t>
  </si>
  <si>
    <t>P-50161</t>
  </si>
  <si>
    <t>P-50113</t>
  </si>
  <si>
    <t>P-50105</t>
  </si>
  <si>
    <t>P-50333</t>
  </si>
  <si>
    <t>P-50259</t>
  </si>
  <si>
    <t>P-50067</t>
  </si>
  <si>
    <t>P-50371</t>
  </si>
  <si>
    <t>P-50350</t>
  </si>
  <si>
    <t>P-50047</t>
  </si>
  <si>
    <t>P-50267</t>
  </si>
  <si>
    <t>P-50016</t>
  </si>
  <si>
    <t>P-50103</t>
  </si>
  <si>
    <t>P-50300</t>
  </si>
  <si>
    <t>P-50109</t>
  </si>
  <si>
    <t>P-50231</t>
  </si>
  <si>
    <t>P-50057</t>
  </si>
  <si>
    <t>P-50258</t>
  </si>
  <si>
    <t>P-50094</t>
  </si>
  <si>
    <t>P-50250</t>
  </si>
  <si>
    <t>P-50102</t>
  </si>
  <si>
    <t>P-50069</t>
  </si>
  <si>
    <t>P-50096</t>
  </si>
  <si>
    <t>P-50347</t>
  </si>
  <si>
    <t>P-50091</t>
  </si>
  <si>
    <t>P-50088</t>
  </si>
  <si>
    <t>P-50221</t>
  </si>
  <si>
    <t>P-50148</t>
  </si>
  <si>
    <t>P-50274</t>
  </si>
  <si>
    <t>P-50269</t>
  </si>
  <si>
    <t>P-50214</t>
  </si>
  <si>
    <t>P-50036</t>
  </si>
  <si>
    <t>P-50050</t>
  </si>
  <si>
    <t>P-50001</t>
  </si>
  <si>
    <t>P-50351</t>
  </si>
  <si>
    <t>P-50087</t>
  </si>
  <si>
    <t>P-50004</t>
  </si>
  <si>
    <t>P-50336</t>
  </si>
  <si>
    <t>P-50303</t>
  </si>
  <si>
    <t>P-50108</t>
  </si>
  <si>
    <t>P-50138</t>
  </si>
  <si>
    <t>P-50074</t>
  </si>
  <si>
    <t>P-50177</t>
  </si>
  <si>
    <t>P-50056</t>
  </si>
  <si>
    <t>P-50046</t>
  </si>
  <si>
    <t>P-50211</t>
  </si>
  <si>
    <t>P-50344</t>
  </si>
  <si>
    <t>P-50273</t>
  </si>
  <si>
    <t>P-50353</t>
  </si>
  <si>
    <t>P-50155</t>
  </si>
  <si>
    <t>P-50130</t>
  </si>
  <si>
    <t>P-50085</t>
  </si>
  <si>
    <t>P-50217</t>
  </si>
  <si>
    <t>P-50097</t>
  </si>
  <si>
    <t>P-50266</t>
  </si>
  <si>
    <t>P-50042</t>
  </si>
  <si>
    <t>P-50301</t>
  </si>
  <si>
    <t>P-50204</t>
  </si>
  <si>
    <t>P-50346</t>
  </si>
  <si>
    <t>P-50048</t>
  </si>
  <si>
    <t>P-50060</t>
  </si>
  <si>
    <t>P-50354</t>
  </si>
  <si>
    <t>P-50083</t>
  </si>
  <si>
    <t>P-50297</t>
  </si>
  <si>
    <t>P-50309</t>
  </si>
  <si>
    <t>P-50323</t>
  </si>
  <si>
    <t>P-50332</t>
  </si>
  <si>
    <t>P-50317</t>
  </si>
  <si>
    <t>P-50234</t>
  </si>
  <si>
    <t>P-50310</t>
  </si>
  <si>
    <t>P-50134</t>
  </si>
  <si>
    <t>P-50076</t>
  </si>
  <si>
    <t>P-50015</t>
  </si>
  <si>
    <t>P-50186</t>
  </si>
  <si>
    <t>P-50018</t>
  </si>
  <si>
    <t>P-50245</t>
  </si>
  <si>
    <t>P-50125</t>
  </si>
  <si>
    <t>P-50127</t>
  </si>
  <si>
    <t>P-50218</t>
  </si>
  <si>
    <t>P-50337</t>
  </si>
  <si>
    <t>P-50030</t>
  </si>
  <si>
    <t>P-50189</t>
  </si>
  <si>
    <t>P-50326</t>
  </si>
  <si>
    <t>P-50345</t>
  </si>
  <si>
    <t>P-50261</t>
  </si>
  <si>
    <t>P-50179</t>
  </si>
  <si>
    <t>P-50131</t>
  </si>
  <si>
    <t>P-50224</t>
  </si>
  <si>
    <t>P-50100</t>
  </si>
  <si>
    <t>P-50084</t>
  </si>
  <si>
    <t>P-50290</t>
  </si>
  <si>
    <t>P-50198</t>
  </si>
  <si>
    <t>P-50064</t>
  </si>
  <si>
    <t>P-50020</t>
  </si>
  <si>
    <t>P-50210</t>
  </si>
  <si>
    <t>P-50362</t>
  </si>
  <si>
    <t>P-50302</t>
  </si>
  <si>
    <t>P-50329</t>
  </si>
  <si>
    <t>P-50158</t>
  </si>
  <si>
    <t>P-50251</t>
  </si>
  <si>
    <t>P-50197</t>
  </si>
  <si>
    <t>P-50352</t>
  </si>
  <si>
    <t>P-50203</t>
  </si>
  <si>
    <t>P-50213</t>
  </si>
  <si>
    <t>P-50208</t>
  </si>
  <si>
    <t>P-50252</t>
  </si>
  <si>
    <t>P-50192</t>
  </si>
  <si>
    <t>P-50257</t>
  </si>
  <si>
    <t>P-50007</t>
  </si>
  <si>
    <t>P-50003</t>
  </si>
  <si>
    <t>P-50098</t>
  </si>
  <si>
    <t>P-50080</t>
  </si>
  <si>
    <t>26-03-2026</t>
  </si>
  <si>
    <t>P-50101</t>
  </si>
  <si>
    <t>P-50241</t>
  </si>
  <si>
    <t>P-50070</t>
  </si>
  <si>
    <t>P-50171</t>
  </si>
  <si>
    <t>P-50037</t>
  </si>
  <si>
    <t>P-50247</t>
  </si>
  <si>
    <t>21-01-2026</t>
  </si>
  <si>
    <t>P-50311</t>
  </si>
  <si>
    <t>P-50288</t>
  </si>
  <si>
    <t>P-50193</t>
  </si>
  <si>
    <t>P-50146</t>
  </si>
  <si>
    <t>P-50233</t>
  </si>
  <si>
    <t>P-50157</t>
  </si>
  <si>
    <t>P-50238</t>
  </si>
  <si>
    <t>P-50195</t>
  </si>
  <si>
    <t>P-50132</t>
  </si>
  <si>
    <t>P-50090</t>
  </si>
  <si>
    <t>P-50373</t>
  </si>
  <si>
    <t>UC-99999</t>
  </si>
  <si>
    <t>P-50284</t>
  </si>
  <si>
    <t>P-50079</t>
  </si>
  <si>
    <t>P-50276</t>
  </si>
  <si>
    <t>P-50305</t>
  </si>
  <si>
    <t>Return_ID</t>
  </si>
  <si>
    <t>Return_Request_Date</t>
  </si>
  <si>
    <t>Return_Reason</t>
  </si>
  <si>
    <t>Return_Status</t>
  </si>
  <si>
    <t>Warehouse_Received_Date</t>
  </si>
  <si>
    <t>R-7001</t>
  </si>
  <si>
    <t>Not as described</t>
  </si>
  <si>
    <t>Received</t>
  </si>
  <si>
    <t>R-7002</t>
  </si>
  <si>
    <t>R-7003</t>
  </si>
  <si>
    <t>R-7004</t>
  </si>
  <si>
    <t xml:space="preserve"> Damaged item </t>
  </si>
  <si>
    <t>R-7005</t>
  </si>
  <si>
    <t xml:space="preserve"> Not as described </t>
  </si>
  <si>
    <t>R-7006</t>
  </si>
  <si>
    <t xml:space="preserve">Not as described </t>
  </si>
  <si>
    <t>R-7007</t>
  </si>
  <si>
    <t>Changed mind</t>
  </si>
  <si>
    <t>R-7008</t>
  </si>
  <si>
    <t>Rejected</t>
  </si>
  <si>
    <t>R-7009</t>
  </si>
  <si>
    <t xml:space="preserve">Received </t>
  </si>
  <si>
    <t>R-7010</t>
  </si>
  <si>
    <t xml:space="preserve">Defective </t>
  </si>
  <si>
    <t>R-7011</t>
  </si>
  <si>
    <t>Defective</t>
  </si>
  <si>
    <t>rejected</t>
  </si>
  <si>
    <t>R-7012</t>
  </si>
  <si>
    <t>Wrong item</t>
  </si>
  <si>
    <t>R-7013</t>
  </si>
  <si>
    <t>Size issue</t>
  </si>
  <si>
    <t>received</t>
  </si>
  <si>
    <t>R-7014</t>
  </si>
  <si>
    <t>CHANGED MIND</t>
  </si>
  <si>
    <t>R-7015</t>
  </si>
  <si>
    <t xml:space="preserve"> Changed mind </t>
  </si>
  <si>
    <t>R-7016</t>
  </si>
  <si>
    <t>R-7017</t>
  </si>
  <si>
    <t>R-7018</t>
  </si>
  <si>
    <t>R-7019</t>
  </si>
  <si>
    <t>R-7020</t>
  </si>
  <si>
    <t>R-7021</t>
  </si>
  <si>
    <t>R-7022</t>
  </si>
  <si>
    <t>R-7023</t>
  </si>
  <si>
    <t>Damaged item</t>
  </si>
  <si>
    <t>R-7024</t>
  </si>
  <si>
    <t>18-05-2026</t>
  </si>
  <si>
    <t>R-7025</t>
  </si>
  <si>
    <t>pending</t>
  </si>
  <si>
    <t>R-7026</t>
  </si>
  <si>
    <t xml:space="preserve">Changed mind </t>
  </si>
  <si>
    <t>R-7027</t>
  </si>
  <si>
    <t>R-7028</t>
  </si>
  <si>
    <t>R-7029</t>
  </si>
  <si>
    <t>R-7030</t>
  </si>
  <si>
    <t>SIZE ISSUE</t>
  </si>
  <si>
    <t>R-7031</t>
  </si>
  <si>
    <t>R-7032</t>
  </si>
  <si>
    <t>damaged item</t>
  </si>
  <si>
    <t>R-7033</t>
  </si>
  <si>
    <t>R-7034</t>
  </si>
  <si>
    <t>R-7035</t>
  </si>
  <si>
    <t>R-7036</t>
  </si>
  <si>
    <t>R-7037</t>
  </si>
  <si>
    <t>R-7038</t>
  </si>
  <si>
    <t>R-7039</t>
  </si>
  <si>
    <t>R-7040</t>
  </si>
  <si>
    <t>R-7041</t>
  </si>
  <si>
    <t>R-7042</t>
  </si>
  <si>
    <t>RECEIVED</t>
  </si>
  <si>
    <t>R-7043</t>
  </si>
  <si>
    <t>R-7044</t>
  </si>
  <si>
    <t>R-7045</t>
  </si>
  <si>
    <t>Pending</t>
  </si>
  <si>
    <t>R-7046</t>
  </si>
  <si>
    <t>17-06-2026</t>
  </si>
  <si>
    <t>R-7047</t>
  </si>
  <si>
    <t xml:space="preserve"> Size issue </t>
  </si>
  <si>
    <t>R-7048</t>
  </si>
  <si>
    <t>R-7049</t>
  </si>
  <si>
    <t>DAMAGED ITEM</t>
  </si>
  <si>
    <t>R-7050</t>
  </si>
  <si>
    <t>R-7051</t>
  </si>
  <si>
    <t>R-7052</t>
  </si>
  <si>
    <t>R-7053</t>
  </si>
  <si>
    <t>R-7054</t>
  </si>
  <si>
    <t>R-7055</t>
  </si>
  <si>
    <t>R-7056</t>
  </si>
  <si>
    <t>R-7057</t>
  </si>
  <si>
    <t>19-02-2026</t>
  </si>
  <si>
    <t>R-7058</t>
  </si>
  <si>
    <t>R-7059</t>
  </si>
  <si>
    <t>DEFECTIVE</t>
  </si>
  <si>
    <t>R-7060</t>
  </si>
  <si>
    <t>25-05-2026</t>
  </si>
  <si>
    <t>R-7061</t>
  </si>
  <si>
    <t xml:space="preserve">Rejected </t>
  </si>
  <si>
    <t>R-7062</t>
  </si>
  <si>
    <t>R-7063</t>
  </si>
  <si>
    <t>R-7064</t>
  </si>
  <si>
    <t>R-7065</t>
  </si>
  <si>
    <t>R-7066</t>
  </si>
  <si>
    <t>R-7067</t>
  </si>
  <si>
    <t>R-7068</t>
  </si>
  <si>
    <t>changed mind</t>
  </si>
  <si>
    <t>R-7069</t>
  </si>
  <si>
    <t>R-7070</t>
  </si>
  <si>
    <t>R-7071</t>
  </si>
  <si>
    <t>R-7072</t>
  </si>
  <si>
    <t>R-7073</t>
  </si>
  <si>
    <t>R-7074</t>
  </si>
  <si>
    <t xml:space="preserve">Wrong item </t>
  </si>
  <si>
    <t>R-7075</t>
  </si>
  <si>
    <t>R-7076</t>
  </si>
  <si>
    <t>R-7077</t>
  </si>
  <si>
    <t>R-7078</t>
  </si>
  <si>
    <t>R-7079</t>
  </si>
  <si>
    <t>WRONG ITEM</t>
  </si>
  <si>
    <t xml:space="preserve">Pending </t>
  </si>
  <si>
    <t>R-7080</t>
  </si>
  <si>
    <t>R-7081</t>
  </si>
  <si>
    <t>R-7082</t>
  </si>
  <si>
    <t>R-7083</t>
  </si>
  <si>
    <t>R-7084</t>
  </si>
  <si>
    <t>R-7085</t>
  </si>
  <si>
    <t>R-7086</t>
  </si>
  <si>
    <t>UC-77777</t>
  </si>
  <si>
    <t>Refund_ID</t>
  </si>
  <si>
    <t>Refund_Date</t>
  </si>
  <si>
    <t>Refund_Amount</t>
  </si>
  <si>
    <t>Refund_Method</t>
  </si>
  <si>
    <t>Approved_By</t>
  </si>
  <si>
    <t>RF-9001</t>
  </si>
  <si>
    <t>Bank Transfer</t>
  </si>
  <si>
    <t>Anita</t>
  </si>
  <si>
    <t>RF-9002</t>
  </si>
  <si>
    <t>Wallet</t>
  </si>
  <si>
    <t>suresh</t>
  </si>
  <si>
    <t>RF-9003</t>
  </si>
  <si>
    <t>Original Payment</t>
  </si>
  <si>
    <t>Rakesh</t>
  </si>
  <si>
    <t>RF-9004</t>
  </si>
  <si>
    <t>Lata</t>
  </si>
  <si>
    <t>RF-9005</t>
  </si>
  <si>
    <t>RF-9006</t>
  </si>
  <si>
    <t>Suresh</t>
  </si>
  <si>
    <t>RF-9007</t>
  </si>
  <si>
    <t>lata</t>
  </si>
  <si>
    <t>RF-9008</t>
  </si>
  <si>
    <t>RF-9009</t>
  </si>
  <si>
    <t>RF-9010</t>
  </si>
  <si>
    <t>RF-9011</t>
  </si>
  <si>
    <t>11/07/2026</t>
  </si>
  <si>
    <t>RF-9012</t>
  </si>
  <si>
    <t>RF-9013</t>
  </si>
  <si>
    <t>RF-9014</t>
  </si>
  <si>
    <t>RF-9015</t>
  </si>
  <si>
    <t>RF-9016</t>
  </si>
  <si>
    <t>RF-9017</t>
  </si>
  <si>
    <t>RF-9018</t>
  </si>
  <si>
    <t>RF-9019</t>
  </si>
  <si>
    <t>RF-9020</t>
  </si>
  <si>
    <t>RF-9021</t>
  </si>
  <si>
    <t>RF-9022</t>
  </si>
  <si>
    <t>RF-9023</t>
  </si>
  <si>
    <t>RF-9024</t>
  </si>
  <si>
    <t>RF-9025</t>
  </si>
  <si>
    <t>RF-9026</t>
  </si>
  <si>
    <t>RF-9027</t>
  </si>
  <si>
    <t>RF-9028</t>
  </si>
  <si>
    <t>rakesh</t>
  </si>
  <si>
    <t>RF-9029</t>
  </si>
  <si>
    <t>RF-9030</t>
  </si>
  <si>
    <t>RF-9031</t>
  </si>
  <si>
    <t>RF-9032</t>
  </si>
  <si>
    <t>RF-9033</t>
  </si>
  <si>
    <t>RF-9034</t>
  </si>
  <si>
    <t>RF-9035</t>
  </si>
  <si>
    <t>RF-9036</t>
  </si>
  <si>
    <t>Rs. 2299</t>
  </si>
  <si>
    <t>RF-9037</t>
  </si>
  <si>
    <t>RF-9038</t>
  </si>
  <si>
    <t>anita</t>
  </si>
  <si>
    <t>RF-9039</t>
  </si>
  <si>
    <t>RF-9040</t>
  </si>
  <si>
    <t>RF-9041</t>
  </si>
  <si>
    <t>RF-9042</t>
  </si>
  <si>
    <t>RF-9043</t>
  </si>
  <si>
    <t>RF-9044</t>
  </si>
  <si>
    <t>RF-9045</t>
  </si>
  <si>
    <t>RF-9046</t>
  </si>
  <si>
    <t>RF-9047</t>
  </si>
  <si>
    <t>RF-9048</t>
  </si>
  <si>
    <t>RF-9049</t>
  </si>
  <si>
    <t>RF-9050</t>
  </si>
  <si>
    <t>RF-9051</t>
  </si>
  <si>
    <t>RF-9052</t>
  </si>
  <si>
    <t>RF-9053</t>
  </si>
  <si>
    <t>RF-9054</t>
  </si>
  <si>
    <t>RF-9055</t>
  </si>
  <si>
    <t>Rs. 2199</t>
  </si>
  <si>
    <t>RF-9056</t>
  </si>
  <si>
    <t>RF-9057</t>
  </si>
  <si>
    <t>RF-9058</t>
  </si>
  <si>
    <t>RF-9059</t>
  </si>
  <si>
    <t>RF-9060</t>
  </si>
  <si>
    <t>RF-9061</t>
  </si>
  <si>
    <t>RF-9062</t>
  </si>
  <si>
    <t>RF-9063</t>
  </si>
  <si>
    <t>RF-9064</t>
  </si>
  <si>
    <t>RF-9065</t>
  </si>
  <si>
    <t>RF-9066</t>
  </si>
  <si>
    <t>02/04/2026</t>
  </si>
  <si>
    <t>RF-9067</t>
  </si>
  <si>
    <t>RF-9068</t>
  </si>
  <si>
    <t>06/07/2026</t>
  </si>
  <si>
    <t>RF-9069</t>
  </si>
  <si>
    <t>RF-9070</t>
  </si>
  <si>
    <t>RF-9071</t>
  </si>
  <si>
    <t>RF-9072</t>
  </si>
  <si>
    <t>RF-9073</t>
  </si>
  <si>
    <t>RF-9074</t>
  </si>
  <si>
    <t>RF-9075</t>
  </si>
  <si>
    <t>R-17875</t>
  </si>
  <si>
    <t>RF-9076</t>
  </si>
  <si>
    <t>RF-9077</t>
  </si>
  <si>
    <t>R-17877</t>
  </si>
  <si>
    <t>RF-9078</t>
  </si>
  <si>
    <t>RF-9079</t>
  </si>
  <si>
    <t>Amount_Flag</t>
  </si>
  <si>
    <t>Order_Month</t>
  </si>
  <si>
    <t>OK</t>
  </si>
  <si>
    <t>2026-02</t>
  </si>
  <si>
    <t>2026-04</t>
  </si>
  <si>
    <t>2026-03</t>
  </si>
  <si>
    <t>2026-01</t>
  </si>
  <si>
    <t>2026-06</t>
  </si>
  <si>
    <t>2026-05</t>
  </si>
  <si>
    <t>Negative - recalculated</t>
  </si>
  <si>
    <t>Unknown</t>
  </si>
  <si>
    <t>Missing or invalid - recalculated</t>
  </si>
  <si>
    <t>Not As Described</t>
  </si>
  <si>
    <t>Damaged Item</t>
  </si>
  <si>
    <t>Changed Mind</t>
  </si>
  <si>
    <t>Wrong Item</t>
  </si>
  <si>
    <t>Size Issue</t>
  </si>
  <si>
    <t>Refund_Amount_Clean</t>
  </si>
  <si>
    <t>Negative - sign corrected</t>
  </si>
  <si>
    <t>Text amount - converted</t>
  </si>
  <si>
    <t>Column1</t>
  </si>
  <si>
    <t>R1_Has_Return</t>
  </si>
  <si>
    <t>R2_Return_Received</t>
  </si>
  <si>
    <t>R3_Payment_Success</t>
  </si>
  <si>
    <t>R4_Within_Paid</t>
  </si>
  <si>
    <t>R5_Single_Refund</t>
  </si>
  <si>
    <t>R6_Within_Window</t>
  </si>
  <si>
    <t>DQ_Date_Logic</t>
  </si>
  <si>
    <t>Rules_Failed</t>
  </si>
  <si>
    <t>Exception_Type</t>
  </si>
  <si>
    <t>Value_At_Risk</t>
  </si>
  <si>
    <t>Refunds</t>
  </si>
  <si>
    <t>Refund_Amount_Total</t>
  </si>
  <si>
    <t>R1 No return record</t>
  </si>
  <si>
    <t>R3 Order not paid</t>
  </si>
  <si>
    <t>R2 Return not received</t>
  </si>
  <si>
    <t>R5 Duplicate refund</t>
  </si>
  <si>
    <t>R4 Refund exceeds payment</t>
  </si>
  <si>
    <t>R6 Late return window</t>
  </si>
  <si>
    <t>Total exceptions</t>
  </si>
  <si>
    <t>None</t>
  </si>
  <si>
    <t>Total refunds issued</t>
  </si>
  <si>
    <t>Check vs Reconciliation</t>
  </si>
  <si>
    <t>UrbanCart Data Quality &amp; Reconciliation</t>
  </si>
  <si>
    <t>Table</t>
  </si>
  <si>
    <t>Raw rows</t>
  </si>
  <si>
    <t>Duplicates removed</t>
  </si>
  <si>
    <t>Expected clean rows</t>
  </si>
  <si>
    <t>Actual clean rows</t>
  </si>
  <si>
    <t>Difference</t>
  </si>
  <si>
    <t>Status</t>
  </si>
  <si>
    <t>Orders</t>
  </si>
  <si>
    <t>Payments</t>
  </si>
  <si>
    <t>Returns</t>
  </si>
  <si>
    <t>Money tie-out</t>
  </si>
  <si>
    <t>Total refunds issued (clean_Refunds)</t>
  </si>
  <si>
    <t>Valid refunds (no exception)</t>
  </si>
  <si>
    <t>Exception refunds</t>
  </si>
  <si>
    <t>Difference (should be 0)</t>
  </si>
  <si>
    <t>Refunds in Reconciliation sheet</t>
  </si>
  <si>
    <t>Difference vs clean_Refunds (should be 0)</t>
  </si>
  <si>
    <t>Issue</t>
  </si>
  <si>
    <t>Count</t>
  </si>
  <si>
    <t>Handling</t>
  </si>
  <si>
    <t>Duplicate order rows</t>
  </si>
  <si>
    <t>Fixed: removed</t>
  </si>
  <si>
    <t>Duplicate payment rows</t>
  </si>
  <si>
    <t>Duplicate return rows</t>
  </si>
  <si>
    <t>Order amounts invalid (negative, blank or N/A)</t>
  </si>
  <si>
    <t>Fixed: recalculated as Qty × Price, flagged</t>
  </si>
  <si>
    <t>Orders with unknown City</t>
  </si>
  <si>
    <t>Labelled “Unknown”</t>
  </si>
  <si>
    <t>Orders with unknown Customer_ID</t>
  </si>
  <si>
    <t>Refund amounts needing correction</t>
  </si>
  <si>
    <t>Fixed: converted or sign corrected</t>
  </si>
  <si>
    <t>Payments with no matching order (orphans)</t>
  </si>
  <si>
    <t>Flagged, not deleted</t>
  </si>
  <si>
    <t>Returns with no matching order (orphans)</t>
  </si>
  <si>
    <t>Refunds with no matching return</t>
  </si>
  <si>
    <t>Flagged as exception (R1)</t>
  </si>
  <si>
    <t>Returns requested before order date</t>
  </si>
  <si>
    <t>Flagged for review</t>
  </si>
  <si>
    <t>Label</t>
  </si>
  <si>
    <t>Value</t>
  </si>
  <si>
    <t>Is_Exception</t>
  </si>
  <si>
    <t>Refund_Month</t>
  </si>
  <si>
    <t>Row Labels</t>
  </si>
  <si>
    <t>Grand Total</t>
  </si>
  <si>
    <t>Exceptions</t>
  </si>
  <si>
    <t>Exception Rate</t>
  </si>
  <si>
    <t xml:space="preserve"> Refund Value</t>
  </si>
  <si>
    <t>Value At Risk</t>
  </si>
  <si>
    <t>Sum of Refund_Amount</t>
  </si>
  <si>
    <t>Sum of Value_At_Risk</t>
  </si>
  <si>
    <t xml:space="preserve"> Refunds</t>
  </si>
  <si>
    <t>Refund Value</t>
  </si>
  <si>
    <t>2026-07</t>
  </si>
  <si>
    <t>UC-10235 Total</t>
  </si>
  <si>
    <t>RF-9075 Total</t>
  </si>
  <si>
    <t>UC-10330 Total</t>
  </si>
  <si>
    <t>RF-9076 Total</t>
  </si>
  <si>
    <t>UC-10262 Total</t>
  </si>
  <si>
    <t>RF-9077 Total</t>
  </si>
  <si>
    <t>UC-10368 Total</t>
  </si>
  <si>
    <t>RF-9078 Total</t>
  </si>
  <si>
    <t>UC-10175 Total</t>
  </si>
  <si>
    <t>RF-9079 Total</t>
  </si>
  <si>
    <t>R1 No return record Total</t>
  </si>
  <si>
    <t>UC-10050 Total</t>
  </si>
  <si>
    <t>RF-9041 Total</t>
  </si>
  <si>
    <t>R3 Order not paid Total</t>
  </si>
  <si>
    <t>UC-10249 Total</t>
  </si>
  <si>
    <t>RF-9004 Total</t>
  </si>
  <si>
    <t>UC-10226 Total</t>
  </si>
  <si>
    <t>RF-9009 Total</t>
  </si>
  <si>
    <t>UC-10218 Total</t>
  </si>
  <si>
    <t>RF-9011 Total</t>
  </si>
  <si>
    <t>UC-10222 Total</t>
  </si>
  <si>
    <t>RF-9030 Total</t>
  </si>
  <si>
    <t>UC-10012 Total</t>
  </si>
  <si>
    <t>RF-9031 Total</t>
  </si>
  <si>
    <t>UC-10029 Total</t>
  </si>
  <si>
    <t>RF-9045 Total</t>
  </si>
  <si>
    <t>UC-10015 Total</t>
  </si>
  <si>
    <t>RF-9046 Total</t>
  </si>
  <si>
    <t>UC-10331 Total</t>
  </si>
  <si>
    <t>RF-9050 Total</t>
  </si>
  <si>
    <t>R4 Refund exceeds payment Total</t>
  </si>
  <si>
    <t>UC-10147 Total</t>
  </si>
  <si>
    <t>RF-9068 Total</t>
  </si>
  <si>
    <t>UC-10242 Total</t>
  </si>
  <si>
    <t>RF-9069 Total</t>
  </si>
  <si>
    <t>UC-10338 Total</t>
  </si>
  <si>
    <t>RF-9070 Total</t>
  </si>
  <si>
    <t>UC-10210 Total</t>
  </si>
  <si>
    <t>RF-9071 Total</t>
  </si>
  <si>
    <t>UC-10143 Total</t>
  </si>
  <si>
    <t>RF-9072 Total</t>
  </si>
  <si>
    <t>UC-10206 Total</t>
  </si>
  <si>
    <t>RF-9073 Total</t>
  </si>
  <si>
    <t>UC-10355 Total</t>
  </si>
  <si>
    <t>RF-9074 Total</t>
  </si>
  <si>
    <t>R5 Duplicate refund Total</t>
  </si>
  <si>
    <t>UC-10086 Total</t>
  </si>
  <si>
    <t>RF-9014 Total</t>
  </si>
  <si>
    <t>UC-10070 Total</t>
  </si>
  <si>
    <t>RF-9057 Total</t>
  </si>
  <si>
    <t>R6 Late return window Total</t>
  </si>
  <si>
    <t>UrbanCart: Refund Leakage Dashboard</t>
  </si>
  <si>
    <t>Orders Jan–Jun 2026 | Source: Orders, Payments, Returns, Refunds (cleaned with Power Query)</t>
  </si>
  <si>
    <t>Refunds Issued</t>
  </si>
  <si>
    <t>Flagged Refunds</t>
  </si>
  <si>
    <t>Value at Risk</t>
  </si>
  <si>
    <t>% of Refund Value</t>
  </si>
  <si>
    <t>refunds in the data</t>
  </si>
  <si>
    <t>total paid out</t>
  </si>
  <si>
    <t>broke at least one rule</t>
  </si>
  <si>
    <t>of all refunds</t>
  </si>
  <si>
    <t>needs investigation</t>
  </si>
  <si>
    <t>at risk</t>
  </si>
  <si>
    <t>KPI cards show overall totals. Charts respond to the slicers on the left.</t>
  </si>
  <si>
    <t>Column</t>
  </si>
  <si>
    <t>Example</t>
  </si>
  <si>
    <t>Planned Fix</t>
  </si>
  <si>
    <t>Exact duplicate rows</t>
  </si>
  <si>
    <t>Same Order_ID appears twice with identical details</t>
  </si>
  <si>
    <t>Remove duplicates, keep 1 copy</t>
  </si>
  <si>
    <t>Done - clean_Orders</t>
  </si>
  <si>
    <t>Blank values</t>
  </si>
  <si>
    <t>Blank Customer_ID</t>
  </si>
  <si>
    <t>Label as Unknown</t>
  </si>
  <si>
    <t>Blank City</t>
  </si>
  <si>
    <t>Inconsistent text (case and spaces)</t>
  </si>
  <si>
    <t>about 36 variants</t>
  </si>
  <si>
    <t>delhi, DELHI, ' Delhi '</t>
  </si>
  <si>
    <t>Trim and Proper Case (8 real cities)</t>
  </si>
  <si>
    <t>Done - stg_Orders</t>
  </si>
  <si>
    <t>about 24 variants</t>
  </si>
  <si>
    <t>fashion, FASHION</t>
  </si>
  <si>
    <t>Trim and Proper Case (5 real categories)</t>
  </si>
  <si>
    <t>about 9 variants</t>
  </si>
  <si>
    <t>delivered, DELIVERED</t>
  </si>
  <si>
    <t>Trim and Proper Case (2 real values)</t>
  </si>
  <si>
    <t>Dates stored as text in mixed formats</t>
  </si>
  <si>
    <t>05-03-2026, 05 Mar 2026</t>
  </si>
  <si>
    <t>Convert to date, day-first (en-GB)</t>
  </si>
  <si>
    <t>Negative amount</t>
  </si>
  <si>
    <t>-1499 (3 after removing duplicates)</t>
  </si>
  <si>
    <t>Recalculate as Quantity x Unit_Price and flag</t>
  </si>
  <si>
    <t>Blank or N/A amount</t>
  </si>
  <si>
    <t>Blank, N/A</t>
  </si>
  <si>
    <t>Same payment repeated</t>
  </si>
  <si>
    <t>Done - clean_Payments</t>
  </si>
  <si>
    <t>Inconsistent labels</t>
  </si>
  <si>
    <t>12 variants</t>
  </si>
  <si>
    <t>CC, Credit Card, upi, UPI</t>
  </si>
  <si>
    <t>Map to 5 standard modes</t>
  </si>
  <si>
    <t>Done - stg_Payments</t>
  </si>
  <si>
    <t>Inconsistent text</t>
  </si>
  <si>
    <t>6 variants</t>
  </si>
  <si>
    <t>success, SUCCESS, 'Success '</t>
  </si>
  <si>
    <t>Standardise to Success or Failed</t>
  </si>
  <si>
    <t>Dates stored as text</t>
  </si>
  <si>
    <t>Day-month-year text</t>
  </si>
  <si>
    <t>Orphan payments (Order_ID not in Orders)</t>
  </si>
  <si>
    <t>UC-99999, UC-99998</t>
  </si>
  <si>
    <t>Do not delete; flag in reconciliation</t>
  </si>
  <si>
    <t>Flagged - DQ_Checks</t>
  </si>
  <si>
    <t>Same return repeated</t>
  </si>
  <si>
    <t>Done - clean_Returns</t>
  </si>
  <si>
    <t>about 10 variants</t>
  </si>
  <si>
    <t>received, RECEIVED, 'Received '</t>
  </si>
  <si>
    <t>Standardise to Received, Rejected or Pending</t>
  </si>
  <si>
    <t>Done - stg_Returns</t>
  </si>
  <si>
    <t>about 21 variants</t>
  </si>
  <si>
    <t>damaged item, DAMAGED ITEM</t>
  </si>
  <si>
    <t>Trim and Proper Case (6 real reasons)</t>
  </si>
  <si>
    <t>Blank values (18)</t>
  </si>
  <si>
    <t>Blank on Rejected and Pending returns</t>
  </si>
  <si>
    <t>Not an error: item never received; leave blank</t>
  </si>
  <si>
    <t>Reviewed - no fix</t>
  </si>
  <si>
    <t>Orphan return (Order_ID not in Orders)</t>
  </si>
  <si>
    <t>Return requested before order date</t>
  </si>
  <si>
    <t>Request date earlier than Order_Date</t>
  </si>
  <si>
    <t>Do not change; flag for review</t>
  </si>
  <si>
    <t>Flagged - DQ_Date_Logic</t>
  </si>
  <si>
    <t>Amount stored as text</t>
  </si>
  <si>
    <t>Strip Rs. and convert to number, flag</t>
  </si>
  <si>
    <t>Done - stg_Refunds</t>
  </si>
  <si>
    <t>-5397</t>
  </si>
  <si>
    <t>Treat as sign error, use positive value, flag (assumption)</t>
  </si>
  <si>
    <t>Inconsistent case</t>
  </si>
  <si>
    <t>8 variants</t>
  </si>
  <si>
    <t>suresh, Suresh</t>
  </si>
  <si>
    <t>Proper Case (4 real names)</t>
  </si>
  <si>
    <t>Blank approver</t>
  </si>
  <si>
    <t>Blank Return_ID</t>
  </si>
  <si>
    <t>Refund with no return reference</t>
  </si>
  <si>
    <t>Do not fill; test with rule R1</t>
  </si>
  <si>
    <t>Flagged - rule R1</t>
  </si>
  <si>
    <t>Return_ID not found in Returns</t>
  </si>
  <si>
    <t>Return_ID with no matching return record</t>
  </si>
  <si>
    <t>Do not delete; test with rule R1</t>
  </si>
  <si>
    <t>Same return refunded more than once</t>
  </si>
  <si>
    <t>Two Refund_IDs for one Return_ID</t>
  </si>
  <si>
    <t>Do not delete; test with rule R5</t>
  </si>
  <si>
    <t>Flagged - rule 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</si>
</sst>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&quot;₹&quot;#,##0"/>
  </numFmts>
  <fonts count="15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FFFFFF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2" borderId="0" xfId="0" applyFont="1" applyFill="1"/>
    <xf numFmtId="164" fontId="1" fillId="0" borderId="0" xfId="0" applyNumberFormat="1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3" fontId="0" fillId="0" borderId="0" xfId="0" applyNumberFormat="1"/>
    <xf numFmtId="1" fontId="0" fillId="0" borderId="0" xfId="0" applyNumberFormat="1"/>
    <xf numFmtId="0" fontId="9" fillId="0" borderId="0" xfId="0" applyFont="1"/>
    <xf numFmtId="0" fontId="10" fillId="0" borderId="0" xfId="0" applyFont="1"/>
    <xf numFmtId="0" fontId="11" fillId="9" borderId="0" xfId="0" applyFont="1" applyFill="1" applyAlignment="1">
      <alignment horizontal="centerContinuous"/>
    </xf>
    <xf numFmtId="0" fontId="11" fillId="10" borderId="0" xfId="0" applyFont="1" applyFill="1" applyAlignment="1">
      <alignment horizontal="centerContinuous"/>
    </xf>
    <xf numFmtId="0" fontId="11" fillId="11" borderId="0" xfId="0" applyFont="1" applyFill="1" applyAlignment="1">
      <alignment horizontal="centerContinuous" vertical="center"/>
    </xf>
    <xf numFmtId="0" fontId="11" fillId="11" borderId="0" xfId="0" applyFont="1" applyFill="1" applyAlignment="1">
      <alignment horizontal="centerContinuous"/>
    </xf>
    <xf numFmtId="0" fontId="11" fillId="12" borderId="0" xfId="0" applyFont="1" applyFill="1" applyAlignment="1">
      <alignment horizontal="centerContinuous"/>
    </xf>
    <xf numFmtId="0" fontId="11" fillId="6" borderId="0" xfId="0" applyFont="1" applyFill="1" applyAlignment="1">
      <alignment horizontal="centerContinuous"/>
    </xf>
    <xf numFmtId="0" fontId="11" fillId="13" borderId="0" xfId="0" applyFont="1" applyFill="1" applyAlignment="1">
      <alignment horizontal="centerContinuous"/>
    </xf>
    <xf numFmtId="1" fontId="12" fillId="9" borderId="0" xfId="0" applyNumberFormat="1" applyFont="1" applyFill="1" applyAlignment="1">
      <alignment horizontal="centerContinuous"/>
    </xf>
    <xf numFmtId="166" fontId="12" fillId="10" borderId="0" xfId="0" applyNumberFormat="1" applyFont="1" applyFill="1" applyAlignment="1">
      <alignment horizontal="centerContinuous"/>
    </xf>
    <xf numFmtId="1" fontId="12" fillId="11" borderId="0" xfId="0" applyNumberFormat="1" applyFont="1" applyFill="1" applyAlignment="1">
      <alignment horizontal="centerContinuous"/>
    </xf>
    <xf numFmtId="165" fontId="12" fillId="12" borderId="0" xfId="0" applyNumberFormat="1" applyFont="1" applyFill="1" applyAlignment="1">
      <alignment horizontal="centerContinuous"/>
    </xf>
    <xf numFmtId="166" fontId="12" fillId="6" borderId="0" xfId="0" applyNumberFormat="1" applyFont="1" applyFill="1" applyAlignment="1">
      <alignment horizontal="centerContinuous"/>
    </xf>
    <xf numFmtId="165" fontId="12" fillId="13" borderId="0" xfId="0" applyNumberFormat="1" applyFont="1" applyFill="1" applyAlignment="1">
      <alignment horizontal="centerContinuous"/>
    </xf>
    <xf numFmtId="0" fontId="13" fillId="14" borderId="0" xfId="0" applyFont="1" applyFill="1"/>
    <xf numFmtId="0" fontId="13" fillId="14" borderId="0" xfId="0" applyFont="1" applyFill="1" applyAlignment="1">
      <alignment vertical="center" wrapText="1"/>
    </xf>
    <xf numFmtId="0" fontId="14" fillId="2" borderId="0" xfId="0" applyFont="1" applyFill="1"/>
    <xf numFmtId="0" fontId="1" fillId="0" borderId="0" xfId="0" applyFont="1" applyAlignment="1">
      <alignment vertical="top" wrapText="1"/>
    </xf>
    <xf numFmtId="4" fontId="0" fillId="0" borderId="1" xfId="0" applyNumberFormat="1" applyBorder="1" applyAlignment="1">
      <alignment horizontal="center"/>
    </xf>
  </cellXfs>
  <cellStyles count="1">
    <cellStyle name="Normal" xfId="0" builtinId="0"/>
  </cellStyles>
  <dxfs count="10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8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[UrbanCart_final_ WORKING.xlsx]Chart_data!PivotTable2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Value at Risk by Exception Type (₹)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1490157480314969"/>
          <c:y val="0.27458114610673667"/>
          <c:w val="0.30646872265966751"/>
          <c:h val="0.618019466316710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Chart_data!$B$3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Chart_data!$A$4:$A$9</c:f>
              <c:strCache>
                <c:ptCount val="5"/>
                <c:pt idx="0">
                  <c:v>R5 Duplicate refund</c:v>
                </c:pt>
                <c:pt idx="1">
                  <c:v>R1 No return record</c:v>
                </c:pt>
                <c:pt idx="2">
                  <c:v>R4 Refund exceeds payment</c:v>
                </c:pt>
                <c:pt idx="3">
                  <c:v>R6 Late return window</c:v>
                </c:pt>
                <c:pt idx="4">
                  <c:v>R3 Order not paid</c:v>
                </c:pt>
              </c:strCache>
            </c:strRef>
          </c:cat>
          <c:val>
            <c:numRef>
              <c:f>Chart_data!$B$4:$B$9</c:f>
              <c:numCache>
                <c:formatCode>General</c:formatCode>
                <c:ptCount val="5"/>
                <c:pt idx="0">
                  <c:v>15091</c:v>
                </c:pt>
                <c:pt idx="1">
                  <c:v>14694</c:v>
                </c:pt>
                <c:pt idx="2">
                  <c:v>4596</c:v>
                </c:pt>
                <c:pt idx="3">
                  <c:v>3598</c:v>
                </c:pt>
                <c:pt idx="4">
                  <c:v>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8-4718-A000-C916D36867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29653008"/>
        <c:axId val="644179504"/>
      </c:barChart>
      <c:catAx>
        <c:axId val="1429653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179504"/>
        <c:crosses val="autoZero"/>
        <c:auto val="1"/>
        <c:lblAlgn val="ctr"/>
        <c:lblOffset val="100"/>
        <c:noMultiLvlLbl val="0"/>
      </c:catAx>
      <c:valAx>
        <c:axId val="64417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65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[UrbanCart_final_ WORKING.xlsx]Chart_data!PivotTable3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Value at Risk by City (₹)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471828446998557"/>
          <c:y val="0.2745813215499171"/>
          <c:w val="0.56662248468941379"/>
          <c:h val="0.618019466316710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Chart_data!$B$18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Chart_data!$A$19:$A$28</c:f>
              <c:strCache>
                <c:ptCount val="9"/>
                <c:pt idx="0">
                  <c:v>Bengaluru</c:v>
                </c:pt>
                <c:pt idx="1">
                  <c:v>Delhi</c:v>
                </c:pt>
                <c:pt idx="2">
                  <c:v>Mumbai</c:v>
                </c:pt>
                <c:pt idx="3">
                  <c:v>Kolkata</c:v>
                </c:pt>
                <c:pt idx="4">
                  <c:v>Chennai</c:v>
                </c:pt>
                <c:pt idx="5">
                  <c:v>Hyderabad</c:v>
                </c:pt>
                <c:pt idx="6">
                  <c:v>Pune</c:v>
                </c:pt>
                <c:pt idx="7">
                  <c:v>Jaipur</c:v>
                </c:pt>
                <c:pt idx="8">
                  <c:v>Unknown</c:v>
                </c:pt>
              </c:strCache>
            </c:strRef>
          </c:cat>
          <c:val>
            <c:numRef>
              <c:f>Chart_data!$B$19:$B$28</c:f>
              <c:numCache>
                <c:formatCode>General</c:formatCode>
                <c:ptCount val="9"/>
                <c:pt idx="0">
                  <c:v>13594</c:v>
                </c:pt>
                <c:pt idx="1">
                  <c:v>6998</c:v>
                </c:pt>
                <c:pt idx="2">
                  <c:v>6596</c:v>
                </c:pt>
                <c:pt idx="3">
                  <c:v>5296</c:v>
                </c:pt>
                <c:pt idx="4">
                  <c:v>2299</c:v>
                </c:pt>
                <c:pt idx="5">
                  <c:v>2098</c:v>
                </c:pt>
                <c:pt idx="6">
                  <c:v>1598</c:v>
                </c:pt>
                <c:pt idx="7">
                  <c:v>1499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32-4FA6-B20A-57C32F34B0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389099952"/>
        <c:axId val="644146384"/>
      </c:barChart>
      <c:catAx>
        <c:axId val="1389099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146384"/>
        <c:crosses val="autoZero"/>
        <c:auto val="1"/>
        <c:lblAlgn val="ctr"/>
        <c:lblOffset val="100"/>
        <c:noMultiLvlLbl val="0"/>
      </c:catAx>
      <c:valAx>
        <c:axId val="6441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09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[UrbanCart_final_ WORKING.xlsx]Chart_data!PivotTable4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0" i="0" u="none" strike="noStrike" baseline="0">
                <a:effectLst/>
              </a:rPr>
              <a:t>Value at Risk by Refund Month (₹)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777699635310304E-2"/>
          <c:y val="0.28150981153459065"/>
          <c:w val="0.93888888888888888"/>
          <c:h val="0.51512795275590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Chart_data!$B$38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Chart_data!$A$39:$A$46</c:f>
              <c:strCache>
                <c:ptCount val="7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</c:strCache>
            </c:strRef>
          </c:cat>
          <c:val>
            <c:numRef>
              <c:f>Chart_data!$B$39:$B$46</c:f>
              <c:numCache>
                <c:formatCode>General</c:formatCode>
                <c:ptCount val="7"/>
                <c:pt idx="0">
                  <c:v>0</c:v>
                </c:pt>
                <c:pt idx="1">
                  <c:v>8997</c:v>
                </c:pt>
                <c:pt idx="2">
                  <c:v>3697</c:v>
                </c:pt>
                <c:pt idx="3">
                  <c:v>3799</c:v>
                </c:pt>
                <c:pt idx="4">
                  <c:v>2397</c:v>
                </c:pt>
                <c:pt idx="5">
                  <c:v>8095</c:v>
                </c:pt>
                <c:pt idx="6">
                  <c:v>12993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F2-4693-A378-9563D20DAA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48000592"/>
        <c:axId val="644137264"/>
      </c:barChart>
      <c:catAx>
        <c:axId val="64800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137264"/>
        <c:crosses val="autoZero"/>
        <c:auto val="1"/>
        <c:lblAlgn val="ctr"/>
        <c:lblOffset val="100"/>
        <c:noMultiLvlLbl val="0"/>
      </c:catAx>
      <c:valAx>
        <c:axId val="6441372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4800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122819</xdr:colOff>
      <xdr:row>8</xdr:row>
      <xdr:rowOff>62572</xdr:rowOff>
    </xdr:from>
    <xdr:to>
      <xdr:col>6</xdr:col>
      <xdr:colOff>384342</xdr:colOff>
      <xdr:row>22</xdr:row>
      <xdr:rowOff>93855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171225-9AE5-4A3F-BD80-A95F2FAE52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32012</xdr:colOff>
      <xdr:row>8</xdr:row>
      <xdr:rowOff>78778</xdr:rowOff>
    </xdr:from>
    <xdr:to>
      <xdr:col>12</xdr:col>
      <xdr:colOff>935788</xdr:colOff>
      <xdr:row>23</xdr:row>
      <xdr:rowOff>12096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5755F4-8D7E-425D-981B-2ECD286AC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133684</xdr:colOff>
      <xdr:row>24</xdr:row>
      <xdr:rowOff>38176</xdr:rowOff>
    </xdr:from>
    <xdr:to>
      <xdr:col>12</xdr:col>
      <xdr:colOff>952500</xdr:colOff>
      <xdr:row>38</xdr:row>
      <xdr:rowOff>165962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761748-C199-40DF-9D96-6BF4CA7E21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56029</xdr:colOff>
      <xdr:row>47</xdr:row>
      <xdr:rowOff>112059</xdr:rowOff>
    </xdr:from>
    <xdr:ext cx="13461067" cy="134447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427F8FF-EF06-5CE6-F26A-52E1671015BC}"/>
            </a:ext>
          </a:extLst>
        </xdr:cNvPr>
        <xdr:cNvSpPr txBox="1"/>
      </xdr:nvSpPr>
      <xdr:spPr>
        <a:xfrm>
          <a:off x="56029" y="9805147"/>
          <a:ext cx="13461067" cy="1344471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000"/>
            <a:t>KEY FINDINGS</a:t>
          </a:r>
        </a:p>
        <a:p>
          <a:r>
            <a:rPr lang="en-IN" sz="1000"/>
            <a:t>1. 23 of 79 refunds (29.1%) broke at least one business rule. Their flagged value at risk is ₹39,978, which is 19.2% of the ₹208,389 refunded.</a:t>
          </a:r>
        </a:p>
        <a:p>
          <a:r>
            <a:rPr lang="en-IN" sz="1000"/>
            <a:t>2. Two exception types make up 74.5% of the value at risk: duplicate refunds (7 refunds, ₹15,091) and refunds with no return record (5 refunds, ₹14,694).</a:t>
          </a:r>
        </a:p>
        <a:p>
          <a:r>
            <a:rPr lang="en-IN" sz="1000"/>
            <a:t>3. No refund was paid on a Rejected or Pending return (rule R2 shows 0 failures).</a:t>
          </a:r>
        </a:p>
        <a:p>
          <a:r>
            <a:rPr lang="en-IN" sz="1000"/>
            <a:t>4. Bengaluru has the highest value at risk (₹13,594, 34.0% of the total), with 5 of its 9 refunds flagged. Sample sizes by city are small (3 to 15 refunds).</a:t>
          </a:r>
        </a:p>
        <a:p>
          <a:r>
            <a:rPr lang="en-IN" sz="1000"/>
            <a:t>5. Home &amp; Kitchen has the highest value at risk (₹16,093, 40.3%). Beauty has the highest exception rate (53.8%, 7 of 13). Electronics has no flagged refunds.</a:t>
          </a:r>
        </a:p>
        <a:p>
          <a:r>
            <a:rPr lang="en-IN" sz="1000"/>
            <a:t>6. Flagged refunds appear under all four named approvers (rates 21.4% to 37.5%), which points to a process or control gap rather than one person.</a:t>
          </a:r>
        </a:p>
        <a:p>
          <a:r>
            <a:rPr lang="en-IN" sz="1000"/>
            <a:t>7. Value at risk was highest in 2026-07 (₹12,993). The month is a partial view, so treat it as a pattern to watch, not a proven trend.</a:t>
          </a:r>
        </a:p>
      </xdr:txBody>
    </xdr:sp>
    <xdr:clientData/>
  </xdr:oneCellAnchor>
  <xdr:oneCellAnchor>
    <xdr:from>
      <xdr:col>0</xdr:col>
      <xdr:colOff>61452</xdr:colOff>
      <xdr:row>56</xdr:row>
      <xdr:rowOff>76815</xdr:rowOff>
    </xdr:from>
    <xdr:ext cx="13503992" cy="103143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EACD030-1DE0-FCDA-C76E-76227F508B7A}"/>
            </a:ext>
          </a:extLst>
        </xdr:cNvPr>
        <xdr:cNvSpPr txBox="1"/>
      </xdr:nvSpPr>
      <xdr:spPr>
        <a:xfrm>
          <a:off x="61452" y="10923025"/>
          <a:ext cx="13503992" cy="1031436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000"/>
            <a:t>SUGGESTED CHECKS (for the Finance team to review, not confirmed outcomes)</a:t>
          </a:r>
        </a:p>
        <a:p>
          <a:r>
            <a:rPr lang="en-IN" sz="1000"/>
            <a:t>• Review the 23 refunds on the Investigation List (Pivots sheet) and confirm which are genuine errors.</a:t>
          </a:r>
        </a:p>
        <a:p>
          <a:r>
            <a:rPr lang="en-IN" sz="1000"/>
            <a:t>• Check why 7 returns received a second refund, and whether the payment system allows two refunds for one return.</a:t>
          </a:r>
        </a:p>
        <a:p>
          <a:r>
            <a:rPr lang="en-IN" sz="1000"/>
            <a:t>• Check whether refunds can be issued without a return record (5 found).</a:t>
          </a:r>
        </a:p>
        <a:p>
          <a:r>
            <a:rPr lang="en-IN" sz="1000"/>
            <a:t>• Confirm payment status before a refund is approved (1 refund on a failed payment).</a:t>
          </a:r>
        </a:p>
        <a:p>
          <a:r>
            <a:rPr lang="en-IN" sz="1000"/>
            <a:t>• Confirm the refund amount cannot exceed the amount paid (8 cases).</a:t>
          </a:r>
        </a:p>
      </xdr:txBody>
    </xdr:sp>
    <xdr:clientData/>
  </xdr:oneCellAnchor>
  <xdr:twoCellAnchor>
    <xdr:from>
      <xdr:col>0</xdr:col>
      <xdr:colOff>70931</xdr:colOff>
      <xdr:row>64</xdr:row>
      <xdr:rowOff>50666</xdr:rowOff>
    </xdr:from>
    <xdr:to>
      <xdr:col>13</xdr:col>
      <xdr:colOff>962633</xdr:colOff>
      <xdr:row>73</xdr:row>
      <xdr:rowOff>86592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C1EAF77-0512-394A-2240-46F529963A9E}"/>
            </a:ext>
          </a:extLst>
        </xdr:cNvPr>
        <xdr:cNvSpPr txBox="1"/>
      </xdr:nvSpPr>
      <xdr:spPr>
        <a:xfrm>
          <a:off x="70931" y="12744893"/>
          <a:ext cx="13533975" cy="175042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/>
            <a:t>DEFINITIONS</a:t>
          </a:r>
        </a:p>
        <a:p>
          <a:r>
            <a:rPr lang="en-IN" sz="1000"/>
            <a:t>Flagged refund: a refund that failed at least one of rules R1 to R6 below.</a:t>
          </a:r>
        </a:p>
        <a:p>
          <a:r>
            <a:rPr lang="en-IN" sz="1000"/>
            <a:t>Value at Risk: refund money that needs investigation. It is NOT proven loss and NOT a savings estimate. For R4 only the excess over the amount paid is counted.</a:t>
          </a:r>
        </a:p>
        <a:p>
          <a:r>
            <a:rPr lang="en-IN" sz="1000"/>
            <a:t>R1: refund has no matching return record.</a:t>
          </a:r>
        </a:p>
        <a:p>
          <a:r>
            <a:rPr lang="en-IN" sz="1000"/>
            <a:t>R2: the return was not marked Received by the warehouse.</a:t>
          </a:r>
        </a:p>
        <a:p>
          <a:r>
            <a:rPr lang="en-IN" sz="1000"/>
            <a:t>R3: the order has no successful payment.</a:t>
          </a:r>
        </a:p>
        <a:p>
          <a:r>
            <a:rPr lang="en-IN" sz="1000"/>
            <a:t>R4: refund is larger than the amount paid.</a:t>
          </a:r>
        </a:p>
        <a:p>
          <a:r>
            <a:rPr lang="en-IN" sz="1000"/>
            <a:t>R5: a second or later refund for the same return.</a:t>
          </a:r>
        </a:p>
        <a:p>
          <a:r>
            <a:rPr lang="en-IN" sz="1000"/>
            <a:t>R6: the return was requested more than 30 days after the order (policy exception).</a:t>
          </a:r>
        </a:p>
        <a:p>
          <a:r>
            <a:rPr lang="en-IN" sz="1000"/>
            <a:t>Each refund is counted once, using the first rule it fails (priority R1, R3, R2, R5, R4, R6).</a:t>
          </a:r>
        </a:p>
      </xdr:txBody>
    </xdr:sp>
    <xdr:clientData/>
  </xdr:twoCellAnchor>
  <xdr:twoCellAnchor>
    <xdr:from>
      <xdr:col>0</xdr:col>
      <xdr:colOff>86591</xdr:colOff>
      <xdr:row>76</xdr:row>
      <xdr:rowOff>17319</xdr:rowOff>
    </xdr:from>
    <xdr:to>
      <xdr:col>13</xdr:col>
      <xdr:colOff>952500</xdr:colOff>
      <xdr:row>79</xdr:row>
      <xdr:rowOff>173183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BCF691D-D07F-8F5B-DD56-C9B4336764A9}"/>
            </a:ext>
          </a:extLst>
        </xdr:cNvPr>
        <xdr:cNvSpPr txBox="1"/>
      </xdr:nvSpPr>
      <xdr:spPr>
        <a:xfrm>
          <a:off x="86591" y="14997546"/>
          <a:ext cx="13508182" cy="72736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/>
            <a:t>DATA QUALITY NOTE</a:t>
          </a:r>
        </a:p>
        <a:p>
          <a:r>
            <a:rPr lang="en-IN" sz="1000"/>
            <a:t>16 duplicate rows were removed (10 orders, 4 payments, 2 returns). 8 order amounts and 5 refund amounts were corrected or recalculated and flagged. 3 returns show a request date before the order date, and 2 payments and 1 return have no matching order. These were flagged, not deleted. All row counts and money totals reconcile from raw to clean (see DQ_Checks).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24.369048726854" createdVersion="8" refreshedVersion="8" minRefreshableVersion="3" recordCount="79" xr:uid="{BBC5BEFF-4FA7-4BF1-9191-1B9AB3DB98E8}">
  <cacheSource type="worksheet">
    <worksheetSource name="rec_Refunds"/>
  </cacheSource>
  <cacheFields count="33">
    <cacheField name="Refund_ID" numFmtId="0">
      <sharedItems count="79">
        <s v="RF-9065"/>
        <s v="RF-9006"/>
        <s v="RF-9022"/>
        <s v="RF-9075"/>
        <s v="RF-9013"/>
        <s v="RF-9004"/>
        <s v="RF-9023"/>
        <s v="RF-9066"/>
        <s v="RF-9057"/>
        <s v="RF-9017"/>
        <s v="RF-9040"/>
        <s v="RF-9048"/>
        <s v="RF-9003"/>
        <s v="RF-9061"/>
        <s v="RF-9079"/>
        <s v="RF-9055"/>
        <s v="RF-9025"/>
        <s v="RF-9068"/>
        <s v="RF-9037"/>
        <s v="RF-9067"/>
        <s v="RF-9008"/>
        <s v="RF-9063"/>
        <s v="RF-9010"/>
        <s v="RF-9046"/>
        <s v="RF-9033"/>
        <s v="RF-9032"/>
        <s v="RF-9001"/>
        <s v="RF-9073"/>
        <s v="RF-9019"/>
        <s v="RF-9052"/>
        <s v="RF-9051"/>
        <s v="RF-9042"/>
        <s v="RF-9027"/>
        <s v="RF-9043"/>
        <s v="RF-9011"/>
        <s v="RF-9031"/>
        <s v="RF-9041"/>
        <s v="RF-9064"/>
        <s v="RF-9054"/>
        <s v="RF-9044"/>
        <s v="RF-9034"/>
        <s v="RF-9026"/>
        <s v="RF-9014"/>
        <s v="RF-9039"/>
        <s v="RF-9030"/>
        <s v="RF-9029"/>
        <s v="RF-9069"/>
        <s v="RF-9047"/>
        <s v="RF-9045"/>
        <s v="RF-9016"/>
        <s v="RF-9060"/>
        <s v="RF-9074"/>
        <s v="RF-9038"/>
        <s v="RF-9056"/>
        <s v="RF-9078"/>
        <s v="RF-9021"/>
        <s v="RF-9002"/>
        <s v="RF-9035"/>
        <s v="RF-9005"/>
        <s v="RF-9070"/>
        <s v="RF-9076"/>
        <s v="RF-9058"/>
        <s v="RF-9059"/>
        <s v="RF-9077"/>
        <s v="RF-9036"/>
        <s v="RF-9028"/>
        <s v="RF-9049"/>
        <s v="RF-9072"/>
        <s v="RF-9007"/>
        <s v="RF-9024"/>
        <s v="RF-9009"/>
        <s v="RF-9018"/>
        <s v="RF-9015"/>
        <s v="RF-9012"/>
        <s v="RF-9050"/>
        <s v="RF-9020"/>
        <s v="RF-9062"/>
        <s v="RF-9053"/>
        <s v="RF-9071"/>
      </sharedItems>
    </cacheField>
    <cacheField name="Return_ID" numFmtId="0">
      <sharedItems containsBlank="1"/>
    </cacheField>
    <cacheField name="Order_ID" numFmtId="0">
      <sharedItems count="71">
        <s v="UC-10072"/>
        <s v="UC-10077"/>
        <s v="UC-10145"/>
        <s v="UC-10235"/>
        <s v="UC-10042"/>
        <s v="UC-10249"/>
        <s v="UC-10345"/>
        <s v="UC-10373"/>
        <s v="UC-10070"/>
        <s v="UC-10169"/>
        <s v="UC-10054"/>
        <s v="UC-10055"/>
        <s v="UC-10155"/>
        <s v="UC-10175"/>
        <s v="UC-10154"/>
        <s v="UC-10147"/>
        <s v="UC-10398"/>
        <s v="UC-10095"/>
        <s v="UC-10181"/>
        <s v="UC-10289"/>
        <s v="UC-10307"/>
        <s v="UC-10015"/>
        <s v="UC-10390"/>
        <s v="UC-10067"/>
        <s v="UC-10206"/>
        <s v="UC-10349"/>
        <s v="UC-10045"/>
        <s v="UC-10082"/>
        <s v="UC-10034"/>
        <s v="UC-10315"/>
        <s v="UC-10254"/>
        <s v="UC-10218"/>
        <s v="UC-10012"/>
        <s v="UC-10050"/>
        <s v="UC-10148"/>
        <s v="UC-10395"/>
        <s v="UC-10293"/>
        <s v="UC-10129"/>
        <s v="UC-10238"/>
        <s v="UC-10086"/>
        <s v="UC-10214"/>
        <s v="UC-10222"/>
        <s v="UC-10242"/>
        <s v="UC-10044"/>
        <s v="UC-10029"/>
        <s v="UC-10125"/>
        <s v="UC-10355"/>
        <s v="UC-10374"/>
        <s v="UC-10237"/>
        <s v="UC-10368"/>
        <s v="UC-10381"/>
        <s v="UC-10329"/>
        <s v="UC-10354"/>
        <s v="UC-10338"/>
        <s v="UC-10330"/>
        <s v="UC-10016"/>
        <s v="UC-10019"/>
        <s v="UC-10262"/>
        <s v="UC-10137"/>
        <s v="UC-10279"/>
        <s v="UC-10143"/>
        <s v="UC-10090"/>
        <s v="UC-10213"/>
        <s v="UC-10226"/>
        <s v="UC-10171"/>
        <s v="UC-10184"/>
        <s v="UC-10038"/>
        <s v="UC-10331"/>
        <s v="UC-10158"/>
        <s v="UC-10255"/>
        <s v="UC-10210"/>
      </sharedItems>
    </cacheField>
    <cacheField name="Refund_Date" numFmtId="14">
      <sharedItems containsSemiMixedTypes="0" containsNonDate="0" containsDate="1" containsString="0" minDate="2026-01-17T00:00:00" maxDate="2026-07-25T00:00:00"/>
    </cacheField>
    <cacheField name="Refund_Amount" numFmtId="0">
      <sharedItems containsSemiMixedTypes="0" containsString="0" containsNumber="1" containsInteger="1" minValue="499" maxValue="11997"/>
    </cacheField>
    <cacheField name="Refund_Method" numFmtId="0">
      <sharedItems/>
    </cacheField>
    <cacheField name="Approved_By" numFmtId="0">
      <sharedItems count="5">
        <s v="Anita"/>
        <s v="Suresh"/>
        <s v="Lata"/>
        <s v="Rakesh"/>
        <s v="Unknown"/>
      </sharedItems>
    </cacheField>
    <cacheField name="Amount_Flag" numFmtId="0">
      <sharedItems/>
    </cacheField>
    <cacheField name="Return_Request_Date" numFmtId="14">
      <sharedItems containsNonDate="0" containsDate="1" containsString="0" containsBlank="1" minDate="2025-12-27T00:00:00" maxDate="2026-07-14T00:00:00"/>
    </cacheField>
    <cacheField name="Return_Status" numFmtId="0">
      <sharedItems containsBlank="1"/>
    </cacheField>
    <cacheField name="Warehouse_Received_Date" numFmtId="14">
      <sharedItems containsNonDate="0" containsDate="1" containsString="0" containsBlank="1" minDate="2026-01-11T00:00:00" maxDate="2026-07-19T00:00:00"/>
    </cacheField>
    <cacheField name="Return_Reason" numFmtId="0">
      <sharedItems containsBlank="1"/>
    </cacheField>
    <cacheField name="Order_Date" numFmtId="14">
      <sharedItems containsSemiMixedTypes="0" containsNonDate="0" containsDate="1" containsString="0" minDate="2026-01-01T00:00:00" maxDate="2026-07-01T00:00:00"/>
    </cacheField>
    <cacheField name="City" numFmtId="0">
      <sharedItems count="9">
        <s v="Chennai"/>
        <s v="Pune"/>
        <s v="Mumbai"/>
        <s v="Delhi"/>
        <s v="Kolkata"/>
        <s v="Bengaluru"/>
        <s v="Jaipur"/>
        <s v="Hyderabad"/>
        <s v="Unknown"/>
      </sharedItems>
    </cacheField>
    <cacheField name="Category" numFmtId="0">
      <sharedItems count="5">
        <s v="Electronics"/>
        <s v="Sports"/>
        <s v="Beauty"/>
        <s v="Home &amp; Kitchen"/>
        <s v="Fashion"/>
      </sharedItems>
    </cacheField>
    <cacheField name="Product" numFmtId="0">
      <sharedItems/>
    </cacheField>
    <cacheField name="Order_Amount" numFmtId="0">
      <sharedItems containsSemiMixedTypes="0" containsString="0" containsNumber="1" containsInteger="1" minValue="499" maxValue="11997"/>
    </cacheField>
    <cacheField name="Order_Status" numFmtId="0">
      <sharedItems/>
    </cacheField>
    <cacheField name="Payment_Mode" numFmtId="0">
      <sharedItems/>
    </cacheField>
    <cacheField name="Payment_Status" numFmtId="0">
      <sharedItems/>
    </cacheField>
    <cacheField name="Amount_Paid" numFmtId="0">
      <sharedItems containsSemiMixedTypes="0" containsString="0" containsNumber="1" containsInteger="1" minValue="499" maxValue="11997"/>
    </cacheField>
    <cacheField name="R1_Has_Return" numFmtId="0">
      <sharedItems/>
    </cacheField>
    <cacheField name="R2_Return_Received" numFmtId="0">
      <sharedItems/>
    </cacheField>
    <cacheField name="R3_Payment_Success" numFmtId="0">
      <sharedItems/>
    </cacheField>
    <cacheField name="R4_Within_Paid" numFmtId="0">
      <sharedItems/>
    </cacheField>
    <cacheField name="R5_Single_Refund" numFmtId="0">
      <sharedItems/>
    </cacheField>
    <cacheField name="R6_Within_Window" numFmtId="0">
      <sharedItems/>
    </cacheField>
    <cacheField name="DQ_Date_Logic" numFmtId="0">
      <sharedItems/>
    </cacheField>
    <cacheField name="Rules_Failed" numFmtId="0">
      <sharedItems containsSemiMixedTypes="0" containsString="0" containsNumber="1" containsInteger="1" minValue="0" maxValue="1"/>
    </cacheField>
    <cacheField name="Exception_Type" numFmtId="0">
      <sharedItems count="6">
        <s v="None"/>
        <s v="R1 No return record"/>
        <s v="R4 Refund exceeds payment"/>
        <s v="R6 Late return window"/>
        <s v="R5 Duplicate refund"/>
        <s v="R3 Order not paid"/>
      </sharedItems>
    </cacheField>
    <cacheField name="Value_At_Risk" numFmtId="0">
      <sharedItems containsSemiMixedTypes="0" containsString="0" containsNumber="1" containsInteger="1" minValue="0" maxValue="6998"/>
    </cacheField>
    <cacheField name="Is_Exception" numFmtId="0">
      <sharedItems containsSemiMixedTypes="0" containsString="0" containsNumber="1" containsInteger="1" minValue="0" maxValue="1" count="2">
        <n v="0"/>
        <n v="1"/>
      </sharedItems>
    </cacheField>
    <cacheField name="Refund_Month" numFmtId="0">
      <sharedItems count="7">
        <s v="2026-03"/>
        <s v="2026-05"/>
        <s v="2026-04"/>
        <s v="2026-06"/>
        <s v="2026-07"/>
        <s v="2026-02"/>
        <s v="2026-01"/>
      </sharedItems>
    </cacheField>
  </cacheFields>
  <extLst>
    <ext xmlns:x14="http://schemas.microsoft.com/office/spreadsheetml/2009/9/main" uri="{725AE2AE-9491-48be-B2B4-4EB974FC3084}">
      <x14:pivotCacheDefinition pivotCacheId="2071565118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x v="0"/>
    <s v="R-7082"/>
    <x v="0"/>
    <d v="2026-03-03T00:00:00"/>
    <n v="1799"/>
    <s v="Original Payment"/>
    <x v="0"/>
    <s v="OK"/>
    <d v="2026-02-23T00:00:00"/>
    <s v="Received"/>
    <d v="2026-03-01T00:00:00"/>
    <s v="Size Issue"/>
    <d v="2026-01-31T00:00:00"/>
    <x v="0"/>
    <x v="0"/>
    <s v="Earbuds"/>
    <n v="1799"/>
    <s v="Delivered"/>
    <s v="Net Banking"/>
    <s v="Success"/>
    <n v="1799"/>
    <s v="PASS"/>
    <s v="PASS"/>
    <s v="PASS"/>
    <s v="PASS"/>
    <s v="PASS"/>
    <s v="PASS"/>
    <s v="OK"/>
    <n v="0"/>
    <x v="0"/>
    <n v="0"/>
    <x v="0"/>
    <x v="0"/>
  </r>
  <r>
    <x v="1"/>
    <s v="R-7006"/>
    <x v="1"/>
    <d v="2026-03-12T00:00:00"/>
    <n v="999"/>
    <s v="Wallet"/>
    <x v="1"/>
    <s v="OK"/>
    <d v="2026-02-26T00:00:00"/>
    <s v="Received"/>
    <d v="2026-03-07T00:00:00"/>
    <s v="Not As Described"/>
    <d v="2026-02-08T00:00:00"/>
    <x v="1"/>
    <x v="1"/>
    <s v="Football"/>
    <n v="999"/>
    <s v="Delivered"/>
    <s v="Credit Card"/>
    <s v="Success"/>
    <n v="999"/>
    <s v="PASS"/>
    <s v="PASS"/>
    <s v="PASS"/>
    <s v="PASS"/>
    <s v="PASS"/>
    <s v="PASS"/>
    <s v="OK"/>
    <n v="0"/>
    <x v="0"/>
    <n v="0"/>
    <x v="0"/>
    <x v="0"/>
  </r>
  <r>
    <x v="2"/>
    <s v="R-7024"/>
    <x v="2"/>
    <d v="2026-05-23T00:00:00"/>
    <n v="1999"/>
    <s v="Bank Transfer"/>
    <x v="0"/>
    <s v="OK"/>
    <d v="2026-05-18T00:00:00"/>
    <s v="Received"/>
    <d v="2026-05-22T00:00:00"/>
    <s v="Not As Described"/>
    <d v="2026-05-12T00:00:00"/>
    <x v="0"/>
    <x v="2"/>
    <s v="Perfume"/>
    <n v="1999"/>
    <s v="Delivered"/>
    <s v="UPI"/>
    <s v="Success"/>
    <n v="1999"/>
    <s v="PASS"/>
    <s v="PASS"/>
    <s v="PASS"/>
    <s v="PASS"/>
    <s v="PASS"/>
    <s v="PASS"/>
    <s v="OK"/>
    <n v="0"/>
    <x v="0"/>
    <n v="0"/>
    <x v="0"/>
    <x v="1"/>
  </r>
  <r>
    <x v="3"/>
    <s v="R-17875"/>
    <x v="3"/>
    <d v="2026-04-14T00:00:00"/>
    <n v="3499"/>
    <s v="Wallet"/>
    <x v="2"/>
    <s v="OK"/>
    <m/>
    <m/>
    <m/>
    <m/>
    <d v="2026-04-30T00:00:00"/>
    <x v="2"/>
    <x v="3"/>
    <s v="Mixer Grinder"/>
    <n v="3499"/>
    <s v="Delivered"/>
    <s v="Net Banking"/>
    <s v="Success"/>
    <n v="3499"/>
    <s v="FAIL"/>
    <s v="N/A"/>
    <s v="PASS"/>
    <s v="PASS"/>
    <s v="PASS"/>
    <s v="N/A"/>
    <s v="N/A"/>
    <n v="1"/>
    <x v="1"/>
    <n v="3499"/>
    <x v="1"/>
    <x v="2"/>
  </r>
  <r>
    <x v="4"/>
    <s v="R-7015"/>
    <x v="4"/>
    <d v="2026-03-08T00:00:00"/>
    <n v="6897"/>
    <s v="Bank Transfer"/>
    <x v="2"/>
    <s v="OK"/>
    <d v="2026-03-04T00:00:00"/>
    <s v="Received"/>
    <d v="2026-03-07T00:00:00"/>
    <s v="Changed Mind"/>
    <d v="2026-02-19T00:00:00"/>
    <x v="3"/>
    <x v="1"/>
    <s v="Dumbbell Set"/>
    <n v="6897"/>
    <s v="Delivered"/>
    <s v="Debit Card"/>
    <s v="Success"/>
    <n v="6897"/>
    <s v="PASS"/>
    <s v="PASS"/>
    <s v="PASS"/>
    <s v="PASS"/>
    <s v="PASS"/>
    <s v="PASS"/>
    <s v="OK"/>
    <n v="0"/>
    <x v="0"/>
    <n v="0"/>
    <x v="0"/>
    <x v="0"/>
  </r>
  <r>
    <x v="5"/>
    <s v="R-7004"/>
    <x v="5"/>
    <d v="2026-06-28T00:00:00"/>
    <n v="1499"/>
    <s v="Original Payment"/>
    <x v="2"/>
    <s v="OK"/>
    <d v="2026-06-18T00:00:00"/>
    <s v="Received"/>
    <d v="2026-06-25T00:00:00"/>
    <s v="Damaged Item"/>
    <d v="2026-06-06T00:00:00"/>
    <x v="0"/>
    <x v="1"/>
    <s v="Football"/>
    <n v="999"/>
    <s v="Delivered"/>
    <s v="COD"/>
    <s v="Success"/>
    <n v="999"/>
    <s v="PASS"/>
    <s v="PASS"/>
    <s v="PASS"/>
    <s v="FAIL"/>
    <s v="PASS"/>
    <s v="PASS"/>
    <s v="OK"/>
    <n v="1"/>
    <x v="2"/>
    <n v="500"/>
    <x v="1"/>
    <x v="3"/>
  </r>
  <r>
    <x v="6"/>
    <s v="R-7026"/>
    <x v="6"/>
    <d v="2026-07-10T00:00:00"/>
    <n v="2299"/>
    <s v="Original Payment"/>
    <x v="1"/>
    <s v="OK"/>
    <d v="2026-06-28T00:00:00"/>
    <s v="Received"/>
    <d v="2026-07-05T00:00:00"/>
    <s v="Changed Mind"/>
    <d v="2026-06-24T00:00:00"/>
    <x v="4"/>
    <x v="1"/>
    <s v="Dumbbell Set"/>
    <n v="2299"/>
    <s v="Delivered"/>
    <s v="Net Banking"/>
    <s v="Success"/>
    <n v="2299"/>
    <s v="PASS"/>
    <s v="PASS"/>
    <s v="PASS"/>
    <s v="PASS"/>
    <s v="PASS"/>
    <s v="PASS"/>
    <s v="OK"/>
    <n v="0"/>
    <x v="0"/>
    <n v="0"/>
    <x v="0"/>
    <x v="4"/>
  </r>
  <r>
    <x v="7"/>
    <s v="R-7083"/>
    <x v="7"/>
    <d v="2026-04-02T00:00:00"/>
    <n v="3499"/>
    <s v="Bank Transfer"/>
    <x v="1"/>
    <s v="OK"/>
    <d v="2026-03-21T00:00:00"/>
    <s v="Received"/>
    <d v="2026-03-28T00:00:00"/>
    <s v="Damaged Item"/>
    <d v="2026-03-17T00:00:00"/>
    <x v="0"/>
    <x v="3"/>
    <s v="Mixer Grinder"/>
    <n v="3499"/>
    <s v="Delivered"/>
    <s v="Net Banking"/>
    <s v="Success"/>
    <n v="3499"/>
    <s v="PASS"/>
    <s v="PASS"/>
    <s v="PASS"/>
    <s v="PASS"/>
    <s v="PASS"/>
    <s v="PASS"/>
    <s v="OK"/>
    <n v="0"/>
    <x v="0"/>
    <n v="0"/>
    <x v="0"/>
    <x v="2"/>
  </r>
  <r>
    <x v="8"/>
    <s v="R-7070"/>
    <x v="8"/>
    <d v="2026-03-01T00:00:00"/>
    <n v="1599"/>
    <s v="Original Payment"/>
    <x v="3"/>
    <s v="OK"/>
    <d v="2026-02-18T00:00:00"/>
    <s v="Received"/>
    <d v="2026-02-23T00:00:00"/>
    <s v="Size Issue"/>
    <d v="2026-01-08T00:00:00"/>
    <x v="5"/>
    <x v="2"/>
    <s v="Hair Dryer"/>
    <n v="1599"/>
    <s v="Delivered"/>
    <s v="Credit Card"/>
    <s v="Success"/>
    <n v="1599"/>
    <s v="PASS"/>
    <s v="PASS"/>
    <s v="PASS"/>
    <s v="PASS"/>
    <s v="PASS"/>
    <s v="FAIL"/>
    <s v="OK"/>
    <n v="1"/>
    <x v="3"/>
    <n v="1599"/>
    <x v="1"/>
    <x v="0"/>
  </r>
  <r>
    <x v="9"/>
    <s v="R-7019"/>
    <x v="9"/>
    <d v="2026-07-16T00:00:00"/>
    <n v="2499"/>
    <s v="Original Payment"/>
    <x v="1"/>
    <s v="OK"/>
    <d v="2026-07-10T00:00:00"/>
    <s v="Received"/>
    <d v="2026-07-13T00:00:00"/>
    <s v="Wrong Item"/>
    <d v="2026-06-23T00:00:00"/>
    <x v="3"/>
    <x v="4"/>
    <s v="Sneakers"/>
    <n v="2499"/>
    <s v="Delivered"/>
    <s v="COD"/>
    <s v="Success"/>
    <n v="2499"/>
    <s v="PASS"/>
    <s v="PASS"/>
    <s v="PASS"/>
    <s v="PASS"/>
    <s v="PASS"/>
    <s v="PASS"/>
    <s v="OK"/>
    <n v="0"/>
    <x v="0"/>
    <n v="0"/>
    <x v="0"/>
    <x v="4"/>
  </r>
  <r>
    <x v="10"/>
    <s v="R-7047"/>
    <x v="10"/>
    <d v="2026-07-20T00:00:00"/>
    <n v="3499"/>
    <s v="Original Payment"/>
    <x v="2"/>
    <s v="Negative - sign corrected"/>
    <d v="2026-07-13T00:00:00"/>
    <s v="Received"/>
    <d v="2026-07-18T00:00:00"/>
    <s v="Size Issue"/>
    <d v="2026-06-30T00:00:00"/>
    <x v="4"/>
    <x v="3"/>
    <s v="Mixer Grinder"/>
    <n v="3499"/>
    <s v="Delivered"/>
    <s v="Credit Card"/>
    <s v="Success"/>
    <n v="3499"/>
    <s v="PASS"/>
    <s v="PASS"/>
    <s v="PASS"/>
    <s v="PASS"/>
    <s v="PASS"/>
    <s v="PASS"/>
    <s v="OK"/>
    <n v="0"/>
    <x v="0"/>
    <n v="0"/>
    <x v="0"/>
    <x v="4"/>
  </r>
  <r>
    <x v="11"/>
    <s v="R-7056"/>
    <x v="11"/>
    <d v="2026-07-02T00:00:00"/>
    <n v="4497"/>
    <s v="Wallet"/>
    <x v="2"/>
    <s v="OK"/>
    <d v="2026-06-05T00:00:00"/>
    <s v="Received"/>
    <d v="2026-06-26T00:00:00"/>
    <s v="Changed Mind"/>
    <d v="2026-06-10T00:00:00"/>
    <x v="5"/>
    <x v="4"/>
    <s v="Jeans"/>
    <n v="4497"/>
    <s v="Delivered"/>
    <s v="UPI"/>
    <s v="Success"/>
    <n v="4497"/>
    <s v="PASS"/>
    <s v="PASS"/>
    <s v="PASS"/>
    <s v="PASS"/>
    <s v="PASS"/>
    <s v="PASS"/>
    <s v="CHECK"/>
    <n v="0"/>
    <x v="0"/>
    <n v="0"/>
    <x v="0"/>
    <x v="4"/>
  </r>
  <r>
    <x v="12"/>
    <s v="R-7003"/>
    <x v="12"/>
    <d v="2026-02-27T00:00:00"/>
    <n v="2799"/>
    <s v="Original Payment"/>
    <x v="3"/>
    <s v="OK"/>
    <d v="2026-02-18T00:00:00"/>
    <s v="Received"/>
    <d v="2026-02-23T00:00:00"/>
    <s v="Not As Described"/>
    <d v="2026-02-13T00:00:00"/>
    <x v="3"/>
    <x v="3"/>
    <s v="Cookware Set"/>
    <n v="2799"/>
    <s v="Delivered"/>
    <s v="Credit Card"/>
    <s v="Success"/>
    <n v="2799"/>
    <s v="PASS"/>
    <s v="PASS"/>
    <s v="PASS"/>
    <s v="PASS"/>
    <s v="PASS"/>
    <s v="PASS"/>
    <s v="OK"/>
    <n v="0"/>
    <x v="0"/>
    <n v="0"/>
    <x v="0"/>
    <x v="5"/>
  </r>
  <r>
    <x v="13"/>
    <s v="R-7077"/>
    <x v="13"/>
    <d v="2026-07-14T00:00:00"/>
    <n v="599"/>
    <s v="Bank Transfer"/>
    <x v="0"/>
    <s v="OK"/>
    <d v="2026-07-03T00:00:00"/>
    <s v="Received"/>
    <d v="2026-07-12T00:00:00"/>
    <s v="Size Issue"/>
    <d v="2026-06-08T00:00:00"/>
    <x v="2"/>
    <x v="4"/>
    <s v="T-Shirt"/>
    <n v="599"/>
    <s v="Delivered"/>
    <s v="Debit Card"/>
    <s v="Success"/>
    <n v="599"/>
    <s v="PASS"/>
    <s v="PASS"/>
    <s v="PASS"/>
    <s v="PASS"/>
    <s v="PASS"/>
    <s v="PASS"/>
    <s v="OK"/>
    <n v="0"/>
    <x v="0"/>
    <n v="0"/>
    <x v="0"/>
    <x v="4"/>
  </r>
  <r>
    <x v="14"/>
    <m/>
    <x v="13"/>
    <d v="2026-07-18T00:00:00"/>
    <n v="599"/>
    <s v="Wallet"/>
    <x v="2"/>
    <s v="OK"/>
    <m/>
    <m/>
    <m/>
    <m/>
    <d v="2026-06-08T00:00:00"/>
    <x v="2"/>
    <x v="4"/>
    <s v="T-Shirt"/>
    <n v="599"/>
    <s v="Delivered"/>
    <s v="Debit Card"/>
    <s v="Success"/>
    <n v="599"/>
    <s v="FAIL"/>
    <s v="N/A"/>
    <s v="PASS"/>
    <s v="PASS"/>
    <s v="N/A"/>
    <s v="N/A"/>
    <s v="N/A"/>
    <n v="1"/>
    <x v="1"/>
    <n v="599"/>
    <x v="1"/>
    <x v="4"/>
  </r>
  <r>
    <x v="15"/>
    <s v="R-7067"/>
    <x v="14"/>
    <d v="2026-06-05T00:00:00"/>
    <n v="2199"/>
    <s v="Bank Transfer"/>
    <x v="3"/>
    <s v="Text amount - converted"/>
    <d v="2026-05-26T00:00:00"/>
    <s v="Received"/>
    <d v="2026-06-01T00:00:00"/>
    <s v="Not As Described"/>
    <d v="2026-05-15T00:00:00"/>
    <x v="1"/>
    <x v="0"/>
    <s v="Bluetooth Speaker"/>
    <n v="2199"/>
    <s v="Delivered"/>
    <s v="UPI"/>
    <s v="Success"/>
    <n v="2199"/>
    <s v="PASS"/>
    <s v="PASS"/>
    <s v="PASS"/>
    <s v="PASS"/>
    <s v="PASS"/>
    <s v="PASS"/>
    <s v="OK"/>
    <n v="0"/>
    <x v="0"/>
    <n v="0"/>
    <x v="0"/>
    <x v="3"/>
  </r>
  <r>
    <x v="16"/>
    <s v="R-7028"/>
    <x v="15"/>
    <d v="2026-07-03T00:00:00"/>
    <n v="1499"/>
    <s v="Wallet"/>
    <x v="2"/>
    <s v="OK"/>
    <d v="2026-06-27T00:00:00"/>
    <s v="Received"/>
    <d v="2026-06-30T00:00:00"/>
    <s v="Damaged Item"/>
    <d v="2026-06-03T00:00:00"/>
    <x v="6"/>
    <x v="4"/>
    <s v="Jeans"/>
    <n v="1499"/>
    <s v="Delivered"/>
    <s v="UPI"/>
    <s v="Success"/>
    <n v="1499"/>
    <s v="PASS"/>
    <s v="PASS"/>
    <s v="PASS"/>
    <s v="PASS"/>
    <s v="PASS"/>
    <s v="PASS"/>
    <s v="OK"/>
    <n v="0"/>
    <x v="0"/>
    <n v="0"/>
    <x v="0"/>
    <x v="4"/>
  </r>
  <r>
    <x v="17"/>
    <s v="R-7028"/>
    <x v="15"/>
    <d v="2026-07-06T00:00:00"/>
    <n v="1499"/>
    <s v="Wallet"/>
    <x v="2"/>
    <s v="OK"/>
    <d v="2026-06-27T00:00:00"/>
    <s v="Received"/>
    <d v="2026-06-30T00:00:00"/>
    <s v="Damaged Item"/>
    <d v="2026-06-03T00:00:00"/>
    <x v="6"/>
    <x v="4"/>
    <s v="Jeans"/>
    <n v="1499"/>
    <s v="Delivered"/>
    <s v="UPI"/>
    <s v="Success"/>
    <n v="1499"/>
    <s v="PASS"/>
    <s v="PASS"/>
    <s v="PASS"/>
    <s v="PASS"/>
    <s v="FAIL"/>
    <s v="PASS"/>
    <s v="OK"/>
    <n v="1"/>
    <x v="4"/>
    <n v="1499"/>
    <x v="1"/>
    <x v="4"/>
  </r>
  <r>
    <x v="18"/>
    <s v="R-7043"/>
    <x v="16"/>
    <d v="2026-03-01T00:00:00"/>
    <n v="6598"/>
    <s v="Wallet"/>
    <x v="3"/>
    <s v="OK"/>
    <d v="2026-02-19T00:00:00"/>
    <s v="Received"/>
    <d v="2026-02-23T00:00:00"/>
    <s v="Size Issue"/>
    <d v="2026-01-31T00:00:00"/>
    <x v="2"/>
    <x v="4"/>
    <s v="Jacket"/>
    <n v="6598"/>
    <s v="Delivered"/>
    <s v="COD"/>
    <s v="Success"/>
    <n v="6598"/>
    <s v="PASS"/>
    <s v="PASS"/>
    <s v="PASS"/>
    <s v="PASS"/>
    <s v="PASS"/>
    <s v="PASS"/>
    <s v="OK"/>
    <n v="0"/>
    <x v="0"/>
    <n v="0"/>
    <x v="0"/>
    <x v="0"/>
  </r>
  <r>
    <x v="19"/>
    <s v="R-7084"/>
    <x v="17"/>
    <d v="2026-05-22T00:00:00"/>
    <n v="2299"/>
    <s v="Bank Transfer"/>
    <x v="3"/>
    <s v="Text amount - converted"/>
    <d v="2026-05-14T00:00:00"/>
    <s v="Received"/>
    <d v="2026-05-17T00:00:00"/>
    <s v="Defective"/>
    <d v="2026-04-19T00:00:00"/>
    <x v="2"/>
    <x v="1"/>
    <s v="Dumbbell Set"/>
    <n v="2299"/>
    <s v="Delivered"/>
    <s v="COD"/>
    <s v="Success"/>
    <n v="2299"/>
    <s v="PASS"/>
    <s v="PASS"/>
    <s v="PASS"/>
    <s v="PASS"/>
    <s v="PASS"/>
    <s v="PASS"/>
    <s v="OK"/>
    <n v="0"/>
    <x v="0"/>
    <n v="0"/>
    <x v="0"/>
    <x v="1"/>
  </r>
  <r>
    <x v="20"/>
    <s v="R-7009"/>
    <x v="18"/>
    <d v="2026-02-23T00:00:00"/>
    <n v="7998"/>
    <s v="Original Payment"/>
    <x v="2"/>
    <s v="OK"/>
    <d v="2026-02-13T00:00:00"/>
    <s v="Received"/>
    <d v="2026-02-21T00:00:00"/>
    <s v="Not As Described"/>
    <d v="2026-02-05T00:00:00"/>
    <x v="7"/>
    <x v="0"/>
    <s v="Smartwatch"/>
    <n v="7998"/>
    <s v="Delivered"/>
    <s v="Net Banking"/>
    <s v="Success"/>
    <n v="7998"/>
    <s v="PASS"/>
    <s v="PASS"/>
    <s v="PASS"/>
    <s v="PASS"/>
    <s v="PASS"/>
    <s v="PASS"/>
    <s v="OK"/>
    <n v="0"/>
    <x v="0"/>
    <n v="0"/>
    <x v="0"/>
    <x v="5"/>
  </r>
  <r>
    <x v="21"/>
    <s v="R-7080"/>
    <x v="19"/>
    <d v="2026-06-14T00:00:00"/>
    <n v="3999"/>
    <s v="Bank Transfer"/>
    <x v="4"/>
    <s v="OK"/>
    <d v="2026-05-30T00:00:00"/>
    <s v="Received"/>
    <d v="2026-06-08T00:00:00"/>
    <s v="Size Issue"/>
    <d v="2026-05-14T00:00:00"/>
    <x v="2"/>
    <x v="0"/>
    <s v="Smartwatch"/>
    <n v="3999"/>
    <s v="Delivered"/>
    <s v="Credit Card"/>
    <s v="Success"/>
    <n v="3999"/>
    <s v="PASS"/>
    <s v="PASS"/>
    <s v="PASS"/>
    <s v="PASS"/>
    <s v="PASS"/>
    <s v="PASS"/>
    <s v="OK"/>
    <n v="0"/>
    <x v="0"/>
    <n v="0"/>
    <x v="0"/>
    <x v="3"/>
  </r>
  <r>
    <x v="22"/>
    <s v="R-7012"/>
    <x v="20"/>
    <d v="2026-02-19T00:00:00"/>
    <n v="2199"/>
    <s v="Original Payment"/>
    <x v="3"/>
    <s v="OK"/>
    <d v="2026-02-05T00:00:00"/>
    <s v="Received"/>
    <d v="2026-02-14T00:00:00"/>
    <s v="Wrong Item"/>
    <d v="2026-01-13T00:00:00"/>
    <x v="6"/>
    <x v="0"/>
    <s v="Bluetooth Speaker"/>
    <n v="2199"/>
    <s v="Delivered"/>
    <s v="COD"/>
    <s v="Success"/>
    <n v="2199"/>
    <s v="PASS"/>
    <s v="PASS"/>
    <s v="PASS"/>
    <s v="PASS"/>
    <s v="PASS"/>
    <s v="PASS"/>
    <s v="OK"/>
    <n v="0"/>
    <x v="0"/>
    <n v="0"/>
    <x v="0"/>
    <x v="5"/>
  </r>
  <r>
    <x v="23"/>
    <s v="R-7053"/>
    <x v="21"/>
    <d v="2026-05-16T00:00:00"/>
    <n v="1899"/>
    <s v="Bank Transfer"/>
    <x v="1"/>
    <s v="OK"/>
    <d v="2026-05-05T00:00:00"/>
    <s v="Received"/>
    <d v="2026-05-13T00:00:00"/>
    <s v="Size Issue"/>
    <d v="2026-04-30T00:00:00"/>
    <x v="5"/>
    <x v="2"/>
    <s v="Hair Dryer"/>
    <n v="1599"/>
    <s v="Delivered"/>
    <s v="Debit Card"/>
    <s v="Success"/>
    <n v="1599"/>
    <s v="PASS"/>
    <s v="PASS"/>
    <s v="PASS"/>
    <s v="FAIL"/>
    <s v="PASS"/>
    <s v="PASS"/>
    <s v="OK"/>
    <n v="1"/>
    <x v="2"/>
    <n v="300"/>
    <x v="1"/>
    <x v="1"/>
  </r>
  <r>
    <x v="24"/>
    <s v="R-7039"/>
    <x v="22"/>
    <d v="2026-05-12T00:00:00"/>
    <n v="3299"/>
    <s v="Wallet"/>
    <x v="0"/>
    <s v="OK"/>
    <d v="2026-05-04T00:00:00"/>
    <s v="Received"/>
    <d v="2026-05-11T00:00:00"/>
    <s v="Damaged Item"/>
    <d v="2026-04-09T00:00:00"/>
    <x v="4"/>
    <x v="4"/>
    <s v="Jacket"/>
    <n v="3299"/>
    <s v="Delivered"/>
    <s v="COD"/>
    <s v="Success"/>
    <n v="3299"/>
    <s v="PASS"/>
    <s v="PASS"/>
    <s v="PASS"/>
    <s v="PASS"/>
    <s v="PASS"/>
    <s v="PASS"/>
    <s v="OK"/>
    <n v="0"/>
    <x v="0"/>
    <n v="0"/>
    <x v="0"/>
    <x v="1"/>
  </r>
  <r>
    <x v="25"/>
    <s v="R-7038"/>
    <x v="23"/>
    <d v="2026-01-17T00:00:00"/>
    <n v="3198"/>
    <s v="Bank Transfer"/>
    <x v="1"/>
    <s v="OK"/>
    <d v="2025-12-27T00:00:00"/>
    <s v="Received"/>
    <d v="2026-01-11T00:00:00"/>
    <s v="Changed Mind"/>
    <d v="2026-01-01T00:00:00"/>
    <x v="0"/>
    <x v="2"/>
    <s v="Hair Dryer"/>
    <n v="3198"/>
    <s v="Delivered"/>
    <s v="Net Banking"/>
    <s v="Success"/>
    <n v="3198"/>
    <s v="PASS"/>
    <s v="PASS"/>
    <s v="PASS"/>
    <s v="PASS"/>
    <s v="PASS"/>
    <s v="PASS"/>
    <s v="CHECK"/>
    <n v="0"/>
    <x v="0"/>
    <n v="0"/>
    <x v="0"/>
    <x v="6"/>
  </r>
  <r>
    <x v="26"/>
    <s v="R-7001"/>
    <x v="24"/>
    <d v="2026-05-25T00:00:00"/>
    <n v="499"/>
    <s v="Bank Transfer"/>
    <x v="0"/>
    <s v="OK"/>
    <d v="2026-05-13T00:00:00"/>
    <s v="Received"/>
    <d v="2026-05-20T00:00:00"/>
    <s v="Not As Described"/>
    <d v="2026-04-20T00:00:00"/>
    <x v="2"/>
    <x v="3"/>
    <s v="Water Bottle"/>
    <n v="499"/>
    <s v="Delivered"/>
    <s v="Debit Card"/>
    <s v="Success"/>
    <n v="499"/>
    <s v="PASS"/>
    <s v="PASS"/>
    <s v="PASS"/>
    <s v="PASS"/>
    <s v="PASS"/>
    <s v="PASS"/>
    <s v="OK"/>
    <n v="0"/>
    <x v="0"/>
    <n v="0"/>
    <x v="0"/>
    <x v="1"/>
  </r>
  <r>
    <x v="27"/>
    <s v="R-7001"/>
    <x v="24"/>
    <d v="2026-05-26T00:00:00"/>
    <n v="499"/>
    <s v="Bank Transfer"/>
    <x v="0"/>
    <s v="OK"/>
    <d v="2026-05-13T00:00:00"/>
    <s v="Received"/>
    <d v="2026-05-20T00:00:00"/>
    <s v="Not As Described"/>
    <d v="2026-04-20T00:00:00"/>
    <x v="2"/>
    <x v="3"/>
    <s v="Water Bottle"/>
    <n v="499"/>
    <s v="Delivered"/>
    <s v="Debit Card"/>
    <s v="Success"/>
    <n v="499"/>
    <s v="PASS"/>
    <s v="PASS"/>
    <s v="PASS"/>
    <s v="PASS"/>
    <s v="FAIL"/>
    <s v="PASS"/>
    <s v="OK"/>
    <n v="1"/>
    <x v="4"/>
    <n v="499"/>
    <x v="1"/>
    <x v="1"/>
  </r>
  <r>
    <x v="28"/>
    <s v="R-7021"/>
    <x v="25"/>
    <d v="2026-05-22T00:00:00"/>
    <n v="1499"/>
    <s v="Original Payment"/>
    <x v="3"/>
    <s v="OK"/>
    <d v="2026-05-09T00:00:00"/>
    <s v="Received"/>
    <d v="2026-05-18T00:00:00"/>
    <s v="Wrong Item"/>
    <d v="2026-04-21T00:00:00"/>
    <x v="3"/>
    <x v="4"/>
    <s v="Jeans"/>
    <n v="1499"/>
    <s v="Delivered"/>
    <s v="COD"/>
    <s v="Success"/>
    <n v="1499"/>
    <s v="PASS"/>
    <s v="PASS"/>
    <s v="PASS"/>
    <s v="PASS"/>
    <s v="PASS"/>
    <s v="PASS"/>
    <s v="OK"/>
    <n v="0"/>
    <x v="0"/>
    <n v="0"/>
    <x v="0"/>
    <x v="1"/>
  </r>
  <r>
    <x v="29"/>
    <s v="R-7060"/>
    <x v="26"/>
    <d v="2026-06-03T00:00:00"/>
    <n v="599"/>
    <s v="Bank Transfer"/>
    <x v="2"/>
    <s v="OK"/>
    <d v="2026-05-25T00:00:00"/>
    <s v="Received"/>
    <d v="2026-06-02T00:00:00"/>
    <s v="Not As Described"/>
    <d v="2026-05-01T00:00:00"/>
    <x v="4"/>
    <x v="4"/>
    <s v="T-Shirt"/>
    <n v="599"/>
    <s v="Delivered"/>
    <s v="UPI"/>
    <s v="Success"/>
    <n v="599"/>
    <s v="PASS"/>
    <s v="PASS"/>
    <s v="PASS"/>
    <s v="PASS"/>
    <s v="PASS"/>
    <s v="PASS"/>
    <s v="OK"/>
    <n v="0"/>
    <x v="0"/>
    <n v="0"/>
    <x v="0"/>
    <x v="3"/>
  </r>
  <r>
    <x v="30"/>
    <s v="R-7059"/>
    <x v="27"/>
    <d v="2026-06-30T00:00:00"/>
    <n v="1499"/>
    <s v="Bank Transfer"/>
    <x v="3"/>
    <s v="OK"/>
    <d v="2026-06-17T00:00:00"/>
    <s v="Received"/>
    <d v="2026-06-26T00:00:00"/>
    <s v="Defective"/>
    <d v="2026-06-01T00:00:00"/>
    <x v="7"/>
    <x v="4"/>
    <s v="Jeans"/>
    <n v="1499"/>
    <s v="Delivered"/>
    <s v="Net Banking"/>
    <s v="Success"/>
    <n v="1499"/>
    <s v="PASS"/>
    <s v="PASS"/>
    <s v="PASS"/>
    <s v="PASS"/>
    <s v="PASS"/>
    <s v="PASS"/>
    <s v="OK"/>
    <n v="0"/>
    <x v="0"/>
    <n v="0"/>
    <x v="0"/>
    <x v="3"/>
  </r>
  <r>
    <x v="31"/>
    <s v="R-7049"/>
    <x v="28"/>
    <d v="2026-07-10T00:00:00"/>
    <n v="2398"/>
    <s v="Original Payment"/>
    <x v="1"/>
    <s v="OK"/>
    <d v="2026-07-03T00:00:00"/>
    <s v="Received"/>
    <d v="2026-07-09T00:00:00"/>
    <s v="Damaged Item"/>
    <d v="2026-06-29T00:00:00"/>
    <x v="4"/>
    <x v="3"/>
    <s v="Bedsheet Set"/>
    <n v="2398"/>
    <s v="Delivered"/>
    <s v="UPI"/>
    <s v="Success"/>
    <n v="2398"/>
    <s v="PASS"/>
    <s v="PASS"/>
    <s v="PASS"/>
    <s v="PASS"/>
    <s v="PASS"/>
    <s v="PASS"/>
    <s v="OK"/>
    <n v="0"/>
    <x v="0"/>
    <n v="0"/>
    <x v="0"/>
    <x v="4"/>
  </r>
  <r>
    <x v="32"/>
    <s v="R-7032"/>
    <x v="29"/>
    <d v="2026-02-15T00:00:00"/>
    <n v="11997"/>
    <s v="Bank Transfer"/>
    <x v="1"/>
    <s v="OK"/>
    <d v="2026-02-07T00:00:00"/>
    <s v="Received"/>
    <d v="2026-02-10T00:00:00"/>
    <s v="Damaged Item"/>
    <d v="2026-01-31T00:00:00"/>
    <x v="3"/>
    <x v="0"/>
    <s v="Smartwatch"/>
    <n v="11997"/>
    <s v="Delivered"/>
    <s v="Net Banking"/>
    <s v="Success"/>
    <n v="11997"/>
    <s v="PASS"/>
    <s v="PASS"/>
    <s v="PASS"/>
    <s v="PASS"/>
    <s v="PASS"/>
    <s v="PASS"/>
    <s v="OK"/>
    <n v="0"/>
    <x v="0"/>
    <n v="0"/>
    <x v="0"/>
    <x v="5"/>
  </r>
  <r>
    <x v="33"/>
    <s v="R-7050"/>
    <x v="30"/>
    <d v="2026-06-29T00:00:00"/>
    <n v="1598"/>
    <s v="Wallet"/>
    <x v="2"/>
    <s v="OK"/>
    <d v="2026-06-20T00:00:00"/>
    <s v="Received"/>
    <d v="2026-06-26T00:00:00"/>
    <s v="Defective"/>
    <d v="2026-05-30T00:00:00"/>
    <x v="8"/>
    <x v="1"/>
    <s v="Yoga Mat"/>
    <n v="1598"/>
    <s v="Delivered"/>
    <s v="UPI"/>
    <s v="Success"/>
    <n v="1598"/>
    <s v="PASS"/>
    <s v="PASS"/>
    <s v="PASS"/>
    <s v="PASS"/>
    <s v="PASS"/>
    <s v="PASS"/>
    <s v="OK"/>
    <n v="0"/>
    <x v="0"/>
    <n v="0"/>
    <x v="0"/>
    <x v="3"/>
  </r>
  <r>
    <x v="34"/>
    <s v="R-7013"/>
    <x v="31"/>
    <d v="2026-07-11T00:00:00"/>
    <n v="6397"/>
    <s v="Original Payment"/>
    <x v="1"/>
    <s v="OK"/>
    <d v="2026-07-04T00:00:00"/>
    <s v="Received"/>
    <d v="2026-07-09T00:00:00"/>
    <s v="Size Issue"/>
    <d v="2026-06-29T00:00:00"/>
    <x v="7"/>
    <x v="3"/>
    <s v="Cookware Set"/>
    <n v="5598"/>
    <s v="Delivered"/>
    <s v="Net Banking"/>
    <s v="Success"/>
    <n v="5598"/>
    <s v="PASS"/>
    <s v="PASS"/>
    <s v="PASS"/>
    <s v="FAIL"/>
    <s v="PASS"/>
    <s v="PASS"/>
    <s v="OK"/>
    <n v="1"/>
    <x v="2"/>
    <n v="799"/>
    <x v="1"/>
    <x v="4"/>
  </r>
  <r>
    <x v="35"/>
    <s v="R-7037"/>
    <x v="32"/>
    <d v="2026-04-10T00:00:00"/>
    <n v="2299"/>
    <s v="Wallet"/>
    <x v="3"/>
    <s v="OK"/>
    <d v="2026-04-04T00:00:00"/>
    <s v="Received"/>
    <d v="2026-04-09T00:00:00"/>
    <s v="Defective"/>
    <d v="2026-04-01T00:00:00"/>
    <x v="0"/>
    <x v="2"/>
    <s v="Perfume"/>
    <n v="1999"/>
    <s v="Delivered"/>
    <s v="UPI"/>
    <s v="Success"/>
    <n v="1999"/>
    <s v="PASS"/>
    <s v="PASS"/>
    <s v="PASS"/>
    <s v="FAIL"/>
    <s v="PASS"/>
    <s v="PASS"/>
    <s v="OK"/>
    <n v="1"/>
    <x v="2"/>
    <n v="300"/>
    <x v="1"/>
    <x v="2"/>
  </r>
  <r>
    <x v="36"/>
    <s v="R-7048"/>
    <x v="33"/>
    <d v="2026-07-08T00:00:00"/>
    <n v="1999"/>
    <s v="Bank Transfer"/>
    <x v="0"/>
    <s v="OK"/>
    <d v="2026-06-24T00:00:00"/>
    <s v="Received"/>
    <d v="2026-07-03T00:00:00"/>
    <s v="Damaged Item"/>
    <d v="2026-05-31T00:00:00"/>
    <x v="2"/>
    <x v="2"/>
    <s v="Perfume"/>
    <n v="1999"/>
    <s v="Delivered"/>
    <s v="UPI"/>
    <s v="Failed"/>
    <n v="1999"/>
    <s v="PASS"/>
    <s v="PASS"/>
    <s v="FAIL"/>
    <s v="N/A"/>
    <s v="PASS"/>
    <s v="PASS"/>
    <s v="OK"/>
    <n v="1"/>
    <x v="5"/>
    <n v="1999"/>
    <x v="1"/>
    <x v="4"/>
  </r>
  <r>
    <x v="37"/>
    <s v="R-7081"/>
    <x v="34"/>
    <d v="2026-03-28T00:00:00"/>
    <n v="5598"/>
    <s v="Original Payment"/>
    <x v="0"/>
    <s v="OK"/>
    <d v="2026-03-17T00:00:00"/>
    <s v="Received"/>
    <d v="2026-03-26T00:00:00"/>
    <s v="Changed Mind"/>
    <d v="2026-03-07T00:00:00"/>
    <x v="5"/>
    <x v="3"/>
    <s v="Cookware Set"/>
    <n v="5598"/>
    <s v="Delivered"/>
    <s v="UPI"/>
    <s v="Success"/>
    <n v="5598"/>
    <s v="PASS"/>
    <s v="PASS"/>
    <s v="PASS"/>
    <s v="PASS"/>
    <s v="PASS"/>
    <s v="PASS"/>
    <s v="OK"/>
    <n v="0"/>
    <x v="0"/>
    <n v="0"/>
    <x v="0"/>
    <x v="0"/>
  </r>
  <r>
    <x v="38"/>
    <s v="R-7066"/>
    <x v="35"/>
    <d v="2026-06-19T00:00:00"/>
    <n v="799"/>
    <s v="Bank Transfer"/>
    <x v="1"/>
    <s v="OK"/>
    <d v="2026-06-10T00:00:00"/>
    <s v="Received"/>
    <d v="2026-06-16T00:00:00"/>
    <s v="Changed Mind"/>
    <d v="2026-05-20T00:00:00"/>
    <x v="4"/>
    <x v="1"/>
    <s v="Yoga Mat"/>
    <n v="799"/>
    <s v="Delivered"/>
    <s v="UPI"/>
    <s v="Success"/>
    <n v="799"/>
    <s v="PASS"/>
    <s v="PASS"/>
    <s v="PASS"/>
    <s v="PASS"/>
    <s v="PASS"/>
    <s v="PASS"/>
    <s v="OK"/>
    <n v="0"/>
    <x v="0"/>
    <n v="0"/>
    <x v="0"/>
    <x v="3"/>
  </r>
  <r>
    <x v="39"/>
    <s v="R-7051"/>
    <x v="36"/>
    <d v="2026-05-02T00:00:00"/>
    <n v="1799"/>
    <s v="Original Payment"/>
    <x v="0"/>
    <s v="OK"/>
    <d v="2026-04-21T00:00:00"/>
    <s v="Received"/>
    <d v="2026-04-26T00:00:00"/>
    <s v="Size Issue"/>
    <d v="2026-03-30T00:00:00"/>
    <x v="0"/>
    <x v="0"/>
    <s v="Earbuds"/>
    <n v="1799"/>
    <s v="Delivered"/>
    <s v="COD"/>
    <s v="Success"/>
    <n v="1799"/>
    <s v="PASS"/>
    <s v="PASS"/>
    <s v="PASS"/>
    <s v="PASS"/>
    <s v="PASS"/>
    <s v="PASS"/>
    <s v="OK"/>
    <n v="0"/>
    <x v="0"/>
    <n v="0"/>
    <x v="0"/>
    <x v="1"/>
  </r>
  <r>
    <x v="40"/>
    <s v="R-7040"/>
    <x v="37"/>
    <d v="2026-05-10T00:00:00"/>
    <n v="1998"/>
    <s v="Wallet"/>
    <x v="1"/>
    <s v="OK"/>
    <d v="2026-05-04T00:00:00"/>
    <s v="Received"/>
    <d v="2026-05-09T00:00:00"/>
    <s v="Changed Mind"/>
    <d v="2026-04-21T00:00:00"/>
    <x v="0"/>
    <x v="1"/>
    <s v="Football"/>
    <n v="1998"/>
    <s v="Delivered"/>
    <s v="Credit Card"/>
    <s v="Success"/>
    <n v="1998"/>
    <s v="PASS"/>
    <s v="PASS"/>
    <s v="PASS"/>
    <s v="PASS"/>
    <s v="PASS"/>
    <s v="PASS"/>
    <s v="OK"/>
    <n v="0"/>
    <x v="0"/>
    <n v="0"/>
    <x v="0"/>
    <x v="1"/>
  </r>
  <r>
    <x v="41"/>
    <s v="R-7029"/>
    <x v="38"/>
    <d v="2026-05-31T00:00:00"/>
    <n v="5598"/>
    <s v="Wallet"/>
    <x v="4"/>
    <s v="OK"/>
    <d v="2026-05-21T00:00:00"/>
    <s v="Received"/>
    <d v="2026-05-30T00:00:00"/>
    <s v="Wrong Item"/>
    <d v="2026-05-08T00:00:00"/>
    <x v="0"/>
    <x v="3"/>
    <s v="Cookware Set"/>
    <n v="5598"/>
    <s v="Delivered"/>
    <s v="UPI"/>
    <s v="Success"/>
    <n v="5598"/>
    <s v="PASS"/>
    <s v="PASS"/>
    <s v="PASS"/>
    <s v="PASS"/>
    <s v="PASS"/>
    <s v="PASS"/>
    <s v="OK"/>
    <n v="0"/>
    <x v="0"/>
    <n v="0"/>
    <x v="0"/>
    <x v="1"/>
  </r>
  <r>
    <x v="42"/>
    <s v="R-7016"/>
    <x v="39"/>
    <d v="2026-06-19T00:00:00"/>
    <n v="1999"/>
    <s v="Wallet"/>
    <x v="1"/>
    <s v="OK"/>
    <d v="2026-06-11T00:00:00"/>
    <s v="Received"/>
    <d v="2026-06-15T00:00:00"/>
    <s v="Defective"/>
    <d v="2026-05-05T00:00:00"/>
    <x v="4"/>
    <x v="2"/>
    <s v="Perfume"/>
    <n v="1999"/>
    <s v="Delivered"/>
    <s v="Debit Card"/>
    <s v="Success"/>
    <n v="1999"/>
    <s v="PASS"/>
    <s v="PASS"/>
    <s v="PASS"/>
    <s v="PASS"/>
    <s v="PASS"/>
    <s v="FAIL"/>
    <s v="OK"/>
    <n v="1"/>
    <x v="3"/>
    <n v="1999"/>
    <x v="1"/>
    <x v="3"/>
  </r>
  <r>
    <x v="43"/>
    <s v="R-7046"/>
    <x v="40"/>
    <d v="2026-06-28T00:00:00"/>
    <n v="2199"/>
    <s v="Bank Transfer"/>
    <x v="0"/>
    <s v="OK"/>
    <d v="2026-06-17T00:00:00"/>
    <s v="Received"/>
    <d v="2026-06-24T00:00:00"/>
    <s v="Damaged Item"/>
    <d v="2026-05-24T00:00:00"/>
    <x v="4"/>
    <x v="0"/>
    <s v="Bluetooth Speaker"/>
    <n v="2199"/>
    <s v="Delivered"/>
    <s v="UPI"/>
    <s v="Success"/>
    <n v="2199"/>
    <s v="PASS"/>
    <s v="PASS"/>
    <s v="PASS"/>
    <s v="PASS"/>
    <s v="PASS"/>
    <s v="PASS"/>
    <s v="OK"/>
    <n v="0"/>
    <x v="0"/>
    <n v="0"/>
    <x v="0"/>
    <x v="3"/>
  </r>
  <r>
    <x v="44"/>
    <s v="R-7035"/>
    <x v="41"/>
    <d v="2026-06-13T00:00:00"/>
    <n v="5397"/>
    <s v="Bank Transfer"/>
    <x v="0"/>
    <s v="Negative - sign corrected"/>
    <d v="2026-06-04T00:00:00"/>
    <s v="Received"/>
    <d v="2026-06-09T00:00:00"/>
    <s v="Changed Mind"/>
    <d v="2026-05-28T00:00:00"/>
    <x v="4"/>
    <x v="1"/>
    <s v="Dumbbell Set"/>
    <n v="4598"/>
    <s v="Delivered"/>
    <s v="Net Banking"/>
    <s v="Success"/>
    <n v="4598"/>
    <s v="PASS"/>
    <s v="PASS"/>
    <s v="PASS"/>
    <s v="FAIL"/>
    <s v="PASS"/>
    <s v="PASS"/>
    <s v="OK"/>
    <n v="1"/>
    <x v="2"/>
    <n v="799"/>
    <x v="1"/>
    <x v="3"/>
  </r>
  <r>
    <x v="45"/>
    <s v="R-7034"/>
    <x v="42"/>
    <d v="2026-05-19T00:00:00"/>
    <n v="1598"/>
    <s v="Bank Transfer"/>
    <x v="0"/>
    <s v="OK"/>
    <d v="2026-05-05T00:00:00"/>
    <s v="Received"/>
    <d v="2026-05-13T00:00:00"/>
    <s v="Changed Mind"/>
    <d v="2026-04-21T00:00:00"/>
    <x v="5"/>
    <x v="1"/>
    <s v="Yoga Mat"/>
    <n v="1598"/>
    <s v="Delivered"/>
    <s v="Net Banking"/>
    <s v="Success"/>
    <n v="1598"/>
    <s v="PASS"/>
    <s v="PASS"/>
    <s v="PASS"/>
    <s v="PASS"/>
    <s v="PASS"/>
    <s v="PASS"/>
    <s v="OK"/>
    <n v="0"/>
    <x v="0"/>
    <n v="0"/>
    <x v="0"/>
    <x v="1"/>
  </r>
  <r>
    <x v="46"/>
    <s v="R-7034"/>
    <x v="42"/>
    <d v="2026-05-23T00:00:00"/>
    <n v="1598"/>
    <s v="Bank Transfer"/>
    <x v="0"/>
    <s v="OK"/>
    <d v="2026-05-05T00:00:00"/>
    <s v="Received"/>
    <d v="2026-05-13T00:00:00"/>
    <s v="Changed Mind"/>
    <d v="2026-04-21T00:00:00"/>
    <x v="5"/>
    <x v="1"/>
    <s v="Yoga Mat"/>
    <n v="1598"/>
    <s v="Delivered"/>
    <s v="Net Banking"/>
    <s v="Success"/>
    <n v="1598"/>
    <s v="PASS"/>
    <s v="PASS"/>
    <s v="PASS"/>
    <s v="PASS"/>
    <s v="FAIL"/>
    <s v="PASS"/>
    <s v="OK"/>
    <n v="1"/>
    <x v="4"/>
    <n v="1598"/>
    <x v="1"/>
    <x v="1"/>
  </r>
  <r>
    <x v="47"/>
    <s v="R-7055"/>
    <x v="43"/>
    <d v="2026-03-04T00:00:00"/>
    <n v="2499"/>
    <s v="Wallet"/>
    <x v="0"/>
    <s v="OK"/>
    <d v="2026-02-24T00:00:00"/>
    <s v="Received"/>
    <d v="2026-02-27T00:00:00"/>
    <s v="Defective"/>
    <d v="2026-02-02T00:00:00"/>
    <x v="2"/>
    <x v="4"/>
    <s v="Sneakers"/>
    <n v="2499"/>
    <s v="Delivered"/>
    <s v="Credit Card"/>
    <s v="Success"/>
    <n v="2499"/>
    <s v="PASS"/>
    <s v="PASS"/>
    <s v="PASS"/>
    <s v="PASS"/>
    <s v="PASS"/>
    <s v="PASS"/>
    <s v="OK"/>
    <n v="0"/>
    <x v="0"/>
    <n v="0"/>
    <x v="0"/>
    <x v="0"/>
  </r>
  <r>
    <x v="48"/>
    <s v="R-7052"/>
    <x v="44"/>
    <d v="2026-03-15T00:00:00"/>
    <n v="2398"/>
    <s v="Bank Transfer"/>
    <x v="1"/>
    <s v="OK"/>
    <d v="2026-03-09T00:00:00"/>
    <s v="Received"/>
    <d v="2026-03-12T00:00:00"/>
    <s v="Damaged Item"/>
    <d v="2026-02-15T00:00:00"/>
    <x v="1"/>
    <x v="2"/>
    <s v="Hair Dryer"/>
    <n v="1599"/>
    <s v="Delivered"/>
    <s v="Debit Card"/>
    <s v="Success"/>
    <n v="1599"/>
    <s v="PASS"/>
    <s v="PASS"/>
    <s v="PASS"/>
    <s v="FAIL"/>
    <s v="PASS"/>
    <s v="PASS"/>
    <s v="OK"/>
    <n v="1"/>
    <x v="2"/>
    <n v="799"/>
    <x v="1"/>
    <x v="0"/>
  </r>
  <r>
    <x v="49"/>
    <s v="R-7018"/>
    <x v="45"/>
    <d v="2026-06-02T00:00:00"/>
    <n v="1999"/>
    <s v="Bank Transfer"/>
    <x v="0"/>
    <s v="OK"/>
    <d v="2026-05-19T00:00:00"/>
    <s v="Received"/>
    <d v="2026-05-28T00:00:00"/>
    <s v="Not As Described"/>
    <d v="2026-05-06T00:00:00"/>
    <x v="4"/>
    <x v="2"/>
    <s v="Perfume"/>
    <n v="1999"/>
    <s v="Delivered"/>
    <s v="UPI"/>
    <s v="Success"/>
    <n v="1999"/>
    <s v="PASS"/>
    <s v="PASS"/>
    <s v="PASS"/>
    <s v="PASS"/>
    <s v="PASS"/>
    <s v="PASS"/>
    <s v="OK"/>
    <n v="0"/>
    <x v="0"/>
    <n v="0"/>
    <x v="0"/>
    <x v="3"/>
  </r>
  <r>
    <x v="50"/>
    <s v="R-7075"/>
    <x v="46"/>
    <d v="2026-02-11T00:00:00"/>
    <n v="1999"/>
    <s v="Original Payment"/>
    <x v="0"/>
    <s v="OK"/>
    <d v="2026-02-04T00:00:00"/>
    <s v="Received"/>
    <d v="2026-02-08T00:00:00"/>
    <s v="Defective"/>
    <d v="2026-01-20T00:00:00"/>
    <x v="4"/>
    <x v="2"/>
    <s v="Perfume"/>
    <n v="1999"/>
    <s v="Delivered"/>
    <s v="Net Banking"/>
    <s v="Success"/>
    <n v="1999"/>
    <s v="PASS"/>
    <s v="PASS"/>
    <s v="PASS"/>
    <s v="PASS"/>
    <s v="PASS"/>
    <s v="PASS"/>
    <s v="OK"/>
    <n v="0"/>
    <x v="0"/>
    <n v="0"/>
    <x v="0"/>
    <x v="5"/>
  </r>
  <r>
    <x v="51"/>
    <s v="R-7075"/>
    <x v="46"/>
    <d v="2026-02-13T00:00:00"/>
    <n v="1999"/>
    <s v="Original Payment"/>
    <x v="0"/>
    <s v="OK"/>
    <d v="2026-02-04T00:00:00"/>
    <s v="Received"/>
    <d v="2026-02-08T00:00:00"/>
    <s v="Defective"/>
    <d v="2026-01-20T00:00:00"/>
    <x v="4"/>
    <x v="2"/>
    <s v="Perfume"/>
    <n v="1999"/>
    <s v="Delivered"/>
    <s v="Net Banking"/>
    <s v="Success"/>
    <n v="1999"/>
    <s v="PASS"/>
    <s v="PASS"/>
    <s v="PASS"/>
    <s v="PASS"/>
    <s v="FAIL"/>
    <s v="PASS"/>
    <s v="OK"/>
    <n v="1"/>
    <x v="4"/>
    <n v="1999"/>
    <x v="1"/>
    <x v="5"/>
  </r>
  <r>
    <x v="52"/>
    <s v="R-7044"/>
    <x v="47"/>
    <d v="2026-04-20T00:00:00"/>
    <n v="1499"/>
    <s v="Bank Transfer"/>
    <x v="0"/>
    <s v="OK"/>
    <d v="2026-04-12T00:00:00"/>
    <s v="Received"/>
    <d v="2026-04-16T00:00:00"/>
    <s v="Wrong Item"/>
    <d v="2026-03-29T00:00:00"/>
    <x v="5"/>
    <x v="4"/>
    <s v="Jeans"/>
    <n v="1499"/>
    <s v="Delivered"/>
    <s v="Credit Card"/>
    <s v="Success"/>
    <n v="1499"/>
    <s v="PASS"/>
    <s v="PASS"/>
    <s v="PASS"/>
    <s v="PASS"/>
    <s v="PASS"/>
    <s v="PASS"/>
    <s v="OK"/>
    <n v="0"/>
    <x v="0"/>
    <n v="0"/>
    <x v="0"/>
    <x v="2"/>
  </r>
  <r>
    <x v="53"/>
    <s v="R-7068"/>
    <x v="48"/>
    <d v="2026-02-20T00:00:00"/>
    <n v="2697"/>
    <s v="Bank Transfer"/>
    <x v="4"/>
    <s v="OK"/>
    <d v="2026-02-13T00:00:00"/>
    <s v="Received"/>
    <d v="2026-02-18T00:00:00"/>
    <s v="Changed Mind"/>
    <d v="2026-02-10T00:00:00"/>
    <x v="7"/>
    <x v="2"/>
    <s v="Face Serum"/>
    <n v="2697"/>
    <s v="Delivered"/>
    <s v="UPI"/>
    <s v="Success"/>
    <n v="2697"/>
    <s v="PASS"/>
    <s v="PASS"/>
    <s v="PASS"/>
    <s v="PASS"/>
    <s v="PASS"/>
    <s v="PASS"/>
    <s v="OK"/>
    <n v="0"/>
    <x v="0"/>
    <n v="0"/>
    <x v="0"/>
    <x v="5"/>
  </r>
  <r>
    <x v="54"/>
    <m/>
    <x v="49"/>
    <d v="2026-06-15T00:00:00"/>
    <n v="3499"/>
    <s v="Wallet"/>
    <x v="0"/>
    <s v="OK"/>
    <m/>
    <m/>
    <m/>
    <m/>
    <d v="2026-03-05T00:00:00"/>
    <x v="5"/>
    <x v="3"/>
    <s v="Mixer Grinder"/>
    <n v="3499"/>
    <s v="Delivered"/>
    <s v="UPI"/>
    <s v="Success"/>
    <n v="3499"/>
    <s v="FAIL"/>
    <s v="N/A"/>
    <s v="PASS"/>
    <s v="PASS"/>
    <s v="N/A"/>
    <s v="N/A"/>
    <s v="N/A"/>
    <n v="1"/>
    <x v="1"/>
    <n v="3499"/>
    <x v="1"/>
    <x v="3"/>
  </r>
  <r>
    <x v="55"/>
    <s v="R-7023"/>
    <x v="50"/>
    <d v="2026-02-08T00:00:00"/>
    <n v="2598"/>
    <s v="Bank Transfer"/>
    <x v="0"/>
    <s v="OK"/>
    <d v="2026-02-03T00:00:00"/>
    <s v="Received"/>
    <d v="2026-02-06T00:00:00"/>
    <s v="Damaged Item"/>
    <d v="2026-01-17T00:00:00"/>
    <x v="7"/>
    <x v="0"/>
    <s v="Power Bank"/>
    <n v="2598"/>
    <s v="Delivered"/>
    <s v="Net Banking"/>
    <s v="Success"/>
    <n v="2598"/>
    <s v="PASS"/>
    <s v="PASS"/>
    <s v="PASS"/>
    <s v="PASS"/>
    <s v="PASS"/>
    <s v="PASS"/>
    <s v="OK"/>
    <n v="0"/>
    <x v="0"/>
    <n v="0"/>
    <x v="0"/>
    <x v="5"/>
  </r>
  <r>
    <x v="56"/>
    <s v="R-7002"/>
    <x v="51"/>
    <d v="2026-04-11T00:00:00"/>
    <n v="599"/>
    <s v="Wallet"/>
    <x v="1"/>
    <s v="OK"/>
    <d v="2026-04-04T00:00:00"/>
    <s v="Received"/>
    <d v="2026-04-09T00:00:00"/>
    <s v="Not As Described"/>
    <d v="2026-03-12T00:00:00"/>
    <x v="2"/>
    <x v="4"/>
    <s v="T-Shirt"/>
    <n v="599"/>
    <s v="Delivered"/>
    <s v="Credit Card"/>
    <s v="Success"/>
    <n v="599"/>
    <s v="PASS"/>
    <s v="PASS"/>
    <s v="PASS"/>
    <s v="PASS"/>
    <s v="PASS"/>
    <s v="PASS"/>
    <s v="OK"/>
    <n v="0"/>
    <x v="0"/>
    <n v="0"/>
    <x v="0"/>
    <x v="2"/>
  </r>
  <r>
    <x v="57"/>
    <s v="R-7041"/>
    <x v="52"/>
    <d v="2026-02-19T00:00:00"/>
    <n v="1199"/>
    <s v="Bank Transfer"/>
    <x v="1"/>
    <s v="OK"/>
    <d v="2026-02-06T00:00:00"/>
    <s v="Received"/>
    <d v="2026-02-13T00:00:00"/>
    <s v="Damaged Item"/>
    <d v="2026-01-17T00:00:00"/>
    <x v="4"/>
    <x v="3"/>
    <s v="Bedsheet Set"/>
    <n v="1199"/>
    <s v="Delivered"/>
    <s v="COD"/>
    <s v="Success"/>
    <n v="1199"/>
    <s v="PASS"/>
    <s v="PASS"/>
    <s v="PASS"/>
    <s v="PASS"/>
    <s v="PASS"/>
    <s v="PASS"/>
    <s v="OK"/>
    <n v="0"/>
    <x v="0"/>
    <n v="0"/>
    <x v="0"/>
    <x v="5"/>
  </r>
  <r>
    <x v="58"/>
    <s v="R-7005"/>
    <x v="53"/>
    <d v="2026-03-18T00:00:00"/>
    <n v="999"/>
    <s v="Bank Transfer"/>
    <x v="0"/>
    <s v="OK"/>
    <d v="2026-03-05T00:00:00"/>
    <s v="Received"/>
    <d v="2026-03-13T00:00:00"/>
    <s v="Not As Described"/>
    <d v="2026-02-15T00:00:00"/>
    <x v="7"/>
    <x v="1"/>
    <s v="Football"/>
    <n v="999"/>
    <s v="Delivered"/>
    <s v="Debit Card"/>
    <s v="Success"/>
    <n v="999"/>
    <s v="PASS"/>
    <s v="PASS"/>
    <s v="PASS"/>
    <s v="PASS"/>
    <s v="PASS"/>
    <s v="PASS"/>
    <s v="OK"/>
    <n v="0"/>
    <x v="0"/>
    <n v="0"/>
    <x v="0"/>
    <x v="0"/>
  </r>
  <r>
    <x v="59"/>
    <s v="R-7005"/>
    <x v="53"/>
    <d v="2026-03-20T00:00:00"/>
    <n v="999"/>
    <s v="Bank Transfer"/>
    <x v="0"/>
    <s v="OK"/>
    <d v="2026-03-05T00:00:00"/>
    <s v="Received"/>
    <d v="2026-03-13T00:00:00"/>
    <s v="Not As Described"/>
    <d v="2026-02-15T00:00:00"/>
    <x v="7"/>
    <x v="1"/>
    <s v="Football"/>
    <n v="999"/>
    <s v="Delivered"/>
    <s v="Debit Card"/>
    <s v="Success"/>
    <n v="999"/>
    <s v="PASS"/>
    <s v="PASS"/>
    <s v="PASS"/>
    <s v="PASS"/>
    <s v="FAIL"/>
    <s v="PASS"/>
    <s v="OK"/>
    <n v="1"/>
    <x v="4"/>
    <n v="999"/>
    <x v="1"/>
    <x v="0"/>
  </r>
  <r>
    <x v="60"/>
    <m/>
    <x v="54"/>
    <d v="2026-07-24T00:00:00"/>
    <n v="6598"/>
    <s v="Wallet"/>
    <x v="2"/>
    <s v="OK"/>
    <m/>
    <m/>
    <m/>
    <m/>
    <d v="2026-02-15T00:00:00"/>
    <x v="5"/>
    <x v="4"/>
    <s v="Jacket"/>
    <n v="6598"/>
    <s v="Delivered"/>
    <s v="COD"/>
    <s v="Success"/>
    <n v="6598"/>
    <s v="FAIL"/>
    <s v="N/A"/>
    <s v="PASS"/>
    <s v="PASS"/>
    <s v="N/A"/>
    <s v="N/A"/>
    <s v="N/A"/>
    <n v="1"/>
    <x v="1"/>
    <n v="6598"/>
    <x v="1"/>
    <x v="4"/>
  </r>
  <r>
    <x v="61"/>
    <s v="R-7073"/>
    <x v="55"/>
    <d v="2026-06-27T00:00:00"/>
    <n v="1598"/>
    <s v="Original Payment"/>
    <x v="2"/>
    <s v="OK"/>
    <d v="2026-06-18T00:00:00"/>
    <s v="Received"/>
    <d v="2026-06-22T00:00:00"/>
    <s v="Wrong Item"/>
    <d v="2026-06-01T00:00:00"/>
    <x v="7"/>
    <x v="1"/>
    <s v="Yoga Mat"/>
    <n v="1598"/>
    <s v="Delivered"/>
    <s v="UPI"/>
    <s v="Success"/>
    <n v="1598"/>
    <s v="PASS"/>
    <s v="PASS"/>
    <s v="PASS"/>
    <s v="PASS"/>
    <s v="PASS"/>
    <s v="PASS"/>
    <s v="OK"/>
    <n v="0"/>
    <x v="0"/>
    <n v="0"/>
    <x v="0"/>
    <x v="3"/>
  </r>
  <r>
    <x v="62"/>
    <s v="R-7074"/>
    <x v="56"/>
    <d v="2026-02-18T00:00:00"/>
    <n v="499"/>
    <s v="Bank Transfer"/>
    <x v="3"/>
    <s v="OK"/>
    <d v="2026-02-11T00:00:00"/>
    <s v="Received"/>
    <d v="2026-02-16T00:00:00"/>
    <s v="Wrong Item"/>
    <d v="2026-01-21T00:00:00"/>
    <x v="2"/>
    <x v="3"/>
    <s v="Water Bottle"/>
    <n v="499"/>
    <s v="Delivered"/>
    <s v="Debit Card"/>
    <s v="Success"/>
    <n v="499"/>
    <s v="PASS"/>
    <s v="PASS"/>
    <s v="PASS"/>
    <s v="PASS"/>
    <s v="PASS"/>
    <s v="PASS"/>
    <s v="OK"/>
    <n v="0"/>
    <x v="0"/>
    <n v="0"/>
    <x v="0"/>
    <x v="5"/>
  </r>
  <r>
    <x v="63"/>
    <s v="R-17877"/>
    <x v="57"/>
    <d v="2026-06-20T00:00:00"/>
    <n v="499"/>
    <s v="Wallet"/>
    <x v="0"/>
    <s v="OK"/>
    <m/>
    <m/>
    <m/>
    <m/>
    <d v="2026-03-12T00:00:00"/>
    <x v="4"/>
    <x v="3"/>
    <s v="Water Bottle"/>
    <n v="499"/>
    <s v="Delivered"/>
    <s v="Credit Card"/>
    <s v="Success"/>
    <n v="499"/>
    <s v="FAIL"/>
    <s v="N/A"/>
    <s v="PASS"/>
    <s v="PASS"/>
    <s v="PASS"/>
    <s v="N/A"/>
    <s v="N/A"/>
    <n v="1"/>
    <x v="1"/>
    <n v="499"/>
    <x v="1"/>
    <x v="3"/>
  </r>
  <r>
    <x v="64"/>
    <s v="R-7042"/>
    <x v="58"/>
    <d v="2026-03-31T00:00:00"/>
    <n v="2299"/>
    <s v="Original Payment"/>
    <x v="1"/>
    <s v="Text amount - converted"/>
    <d v="2026-03-24T00:00:00"/>
    <s v="Received"/>
    <d v="2026-03-30T00:00:00"/>
    <s v="Size Issue"/>
    <d v="2026-03-13T00:00:00"/>
    <x v="2"/>
    <x v="1"/>
    <s v="Dumbbell Set"/>
    <n v="2299"/>
    <s v="Delivered"/>
    <s v="COD"/>
    <s v="Success"/>
    <n v="2299"/>
    <s v="PASS"/>
    <s v="PASS"/>
    <s v="PASS"/>
    <s v="PASS"/>
    <s v="PASS"/>
    <s v="PASS"/>
    <s v="OK"/>
    <n v="0"/>
    <x v="0"/>
    <n v="0"/>
    <x v="0"/>
    <x v="0"/>
  </r>
  <r>
    <x v="65"/>
    <s v="R-7033"/>
    <x v="59"/>
    <d v="2026-07-06T00:00:00"/>
    <n v="2299"/>
    <s v="Wallet"/>
    <x v="3"/>
    <s v="OK"/>
    <d v="2026-06-26T00:00:00"/>
    <s v="Received"/>
    <d v="2026-07-01T00:00:00"/>
    <s v="Defective"/>
    <d v="2026-06-21T00:00:00"/>
    <x v="0"/>
    <x v="1"/>
    <s v="Dumbbell Set"/>
    <n v="2299"/>
    <s v="Delivered"/>
    <s v="UPI"/>
    <s v="Success"/>
    <n v="2299"/>
    <s v="PASS"/>
    <s v="PASS"/>
    <s v="PASS"/>
    <s v="PASS"/>
    <s v="PASS"/>
    <s v="PASS"/>
    <s v="OK"/>
    <n v="0"/>
    <x v="0"/>
    <n v="0"/>
    <x v="0"/>
    <x v="4"/>
  </r>
  <r>
    <x v="66"/>
    <s v="R-7057"/>
    <x v="60"/>
    <d v="2026-02-24T00:00:00"/>
    <n v="6998"/>
    <s v="Bank Transfer"/>
    <x v="1"/>
    <s v="OK"/>
    <d v="2026-02-19T00:00:00"/>
    <s v="Received"/>
    <d v="2026-02-23T00:00:00"/>
    <s v="Damaged Item"/>
    <d v="2026-02-09T00:00:00"/>
    <x v="3"/>
    <x v="3"/>
    <s v="Mixer Grinder"/>
    <n v="6998"/>
    <s v="Delivered"/>
    <s v="UPI"/>
    <s v="Success"/>
    <n v="6998"/>
    <s v="PASS"/>
    <s v="PASS"/>
    <s v="PASS"/>
    <s v="PASS"/>
    <s v="PASS"/>
    <s v="PASS"/>
    <s v="OK"/>
    <n v="0"/>
    <x v="0"/>
    <n v="0"/>
    <x v="0"/>
    <x v="5"/>
  </r>
  <r>
    <x v="67"/>
    <s v="R-7057"/>
    <x v="60"/>
    <d v="2026-02-26T00:00:00"/>
    <n v="6998"/>
    <s v="Bank Transfer"/>
    <x v="1"/>
    <s v="OK"/>
    <d v="2026-02-19T00:00:00"/>
    <s v="Received"/>
    <d v="2026-02-23T00:00:00"/>
    <s v="Damaged Item"/>
    <d v="2026-02-09T00:00:00"/>
    <x v="3"/>
    <x v="3"/>
    <s v="Mixer Grinder"/>
    <n v="6998"/>
    <s v="Delivered"/>
    <s v="UPI"/>
    <s v="Success"/>
    <n v="6998"/>
    <s v="PASS"/>
    <s v="PASS"/>
    <s v="PASS"/>
    <s v="PASS"/>
    <s v="FAIL"/>
    <s v="PASS"/>
    <s v="OK"/>
    <n v="1"/>
    <x v="4"/>
    <n v="6998"/>
    <x v="1"/>
    <x v="5"/>
  </r>
  <r>
    <x v="68"/>
    <s v="R-7007"/>
    <x v="61"/>
    <d v="2026-03-05T00:00:00"/>
    <n v="1199"/>
    <s v="Wallet"/>
    <x v="2"/>
    <s v="OK"/>
    <d v="2026-02-01T00:00:00"/>
    <s v="Received"/>
    <d v="2026-03-04T00:00:00"/>
    <s v="Changed Mind"/>
    <d v="2026-02-07T00:00:00"/>
    <x v="0"/>
    <x v="3"/>
    <s v="Bedsheet Set"/>
    <n v="1199"/>
    <s v="Delivered"/>
    <s v="Debit Card"/>
    <s v="Success"/>
    <n v="1199"/>
    <s v="PASS"/>
    <s v="PASS"/>
    <s v="PASS"/>
    <s v="PASS"/>
    <s v="PASS"/>
    <s v="PASS"/>
    <s v="CHECK"/>
    <n v="0"/>
    <x v="0"/>
    <n v="0"/>
    <x v="0"/>
    <x v="0"/>
  </r>
  <r>
    <x v="69"/>
    <s v="R-7027"/>
    <x v="62"/>
    <d v="2026-03-28T00:00:00"/>
    <n v="1999"/>
    <s v="Wallet"/>
    <x v="0"/>
    <s v="OK"/>
    <d v="2026-03-23T00:00:00"/>
    <s v="Received"/>
    <d v="2026-03-27T00:00:00"/>
    <s v="Wrong Item"/>
    <d v="2026-03-05T00:00:00"/>
    <x v="1"/>
    <x v="2"/>
    <s v="Perfume"/>
    <n v="1999"/>
    <s v="Delivered"/>
    <s v="Debit Card"/>
    <s v="Success"/>
    <n v="1999"/>
    <s v="PASS"/>
    <s v="PASS"/>
    <s v="PASS"/>
    <s v="PASS"/>
    <s v="PASS"/>
    <s v="PASS"/>
    <s v="OK"/>
    <n v="0"/>
    <x v="0"/>
    <n v="0"/>
    <x v="0"/>
    <x v="0"/>
  </r>
  <r>
    <x v="70"/>
    <s v="R-7010"/>
    <x v="63"/>
    <d v="2026-03-27T00:00:00"/>
    <n v="2698"/>
    <s v="Original Payment"/>
    <x v="2"/>
    <s v="OK"/>
    <d v="2026-03-16T00:00:00"/>
    <s v="Received"/>
    <d v="2026-03-22T00:00:00"/>
    <s v="Defective"/>
    <d v="2026-03-06T00:00:00"/>
    <x v="7"/>
    <x v="3"/>
    <s v="Bedsheet Set"/>
    <n v="2398"/>
    <s v="Delivered"/>
    <s v="COD"/>
    <s v="Success"/>
    <n v="2398"/>
    <s v="PASS"/>
    <s v="PASS"/>
    <s v="PASS"/>
    <s v="FAIL"/>
    <s v="PASS"/>
    <s v="PASS"/>
    <s v="OK"/>
    <n v="1"/>
    <x v="2"/>
    <n v="300"/>
    <x v="1"/>
    <x v="0"/>
  </r>
  <r>
    <x v="71"/>
    <s v="R-7020"/>
    <x v="64"/>
    <d v="2026-02-12T00:00:00"/>
    <n v="499"/>
    <s v="Wallet"/>
    <x v="3"/>
    <s v="OK"/>
    <d v="2026-01-29T00:00:00"/>
    <s v="Received"/>
    <d v="2026-02-07T00:00:00"/>
    <s v="Not As Described"/>
    <d v="2026-01-22T00:00:00"/>
    <x v="2"/>
    <x v="3"/>
    <s v="Water Bottle"/>
    <n v="499"/>
    <s v="Delivered"/>
    <s v="Debit Card"/>
    <s v="Success"/>
    <n v="499"/>
    <s v="PASS"/>
    <s v="PASS"/>
    <s v="PASS"/>
    <s v="PASS"/>
    <s v="PASS"/>
    <s v="PASS"/>
    <s v="OK"/>
    <n v="0"/>
    <x v="0"/>
    <n v="0"/>
    <x v="0"/>
    <x v="5"/>
  </r>
  <r>
    <x v="72"/>
    <s v="R-7017"/>
    <x v="65"/>
    <d v="2026-03-07T00:00:00"/>
    <n v="2199"/>
    <s v="Wallet"/>
    <x v="1"/>
    <s v="OK"/>
    <d v="2026-03-01T00:00:00"/>
    <s v="Received"/>
    <d v="2026-03-05T00:00:00"/>
    <s v="Size Issue"/>
    <d v="2026-02-26T00:00:00"/>
    <x v="4"/>
    <x v="0"/>
    <s v="Bluetooth Speaker"/>
    <n v="2199"/>
    <s v="Delivered"/>
    <s v="Credit Card"/>
    <s v="Success"/>
    <n v="2199"/>
    <s v="PASS"/>
    <s v="PASS"/>
    <s v="PASS"/>
    <s v="PASS"/>
    <s v="PASS"/>
    <s v="PASS"/>
    <s v="OK"/>
    <n v="0"/>
    <x v="0"/>
    <n v="0"/>
    <x v="0"/>
    <x v="0"/>
  </r>
  <r>
    <x v="73"/>
    <s v="R-7014"/>
    <x v="66"/>
    <d v="2026-05-03T00:00:00"/>
    <n v="499"/>
    <s v="Wallet"/>
    <x v="0"/>
    <s v="OK"/>
    <d v="2026-04-21T00:00:00"/>
    <s v="Received"/>
    <d v="2026-04-29T00:00:00"/>
    <s v="Changed Mind"/>
    <d v="2026-03-30T00:00:00"/>
    <x v="3"/>
    <x v="3"/>
    <s v="Water Bottle"/>
    <n v="499"/>
    <s v="Delivered"/>
    <s v="UPI"/>
    <s v="Success"/>
    <n v="499"/>
    <s v="PASS"/>
    <s v="PASS"/>
    <s v="PASS"/>
    <s v="PASS"/>
    <s v="PASS"/>
    <s v="PASS"/>
    <s v="OK"/>
    <n v="0"/>
    <x v="0"/>
    <n v="0"/>
    <x v="0"/>
    <x v="1"/>
  </r>
  <r>
    <x v="74"/>
    <s v="R-7058"/>
    <x v="67"/>
    <d v="2026-06-24T00:00:00"/>
    <n v="1598"/>
    <s v="Original Payment"/>
    <x v="1"/>
    <s v="OK"/>
    <d v="2026-06-18T00:00:00"/>
    <s v="Received"/>
    <d v="2026-06-22T00:00:00"/>
    <s v="Changed Mind"/>
    <d v="2026-06-08T00:00:00"/>
    <x v="1"/>
    <x v="1"/>
    <s v="Yoga Mat"/>
    <n v="799"/>
    <s v="Delivered"/>
    <s v="Net Banking"/>
    <s v="Success"/>
    <n v="799"/>
    <s v="PASS"/>
    <s v="PASS"/>
    <s v="PASS"/>
    <s v="FAIL"/>
    <s v="PASS"/>
    <s v="PASS"/>
    <s v="OK"/>
    <n v="1"/>
    <x v="2"/>
    <n v="799"/>
    <x v="1"/>
    <x v="3"/>
  </r>
  <r>
    <x v="75"/>
    <s v="R-7022"/>
    <x v="68"/>
    <d v="2026-06-24T00:00:00"/>
    <n v="4497"/>
    <s v="Bank Transfer"/>
    <x v="1"/>
    <s v="OK"/>
    <d v="2026-06-13T00:00:00"/>
    <s v="Received"/>
    <d v="2026-06-22T00:00:00"/>
    <s v="Defective"/>
    <d v="2026-06-10T00:00:00"/>
    <x v="0"/>
    <x v="4"/>
    <s v="Jeans"/>
    <n v="4497"/>
    <s v="Delivered"/>
    <s v="Net Banking"/>
    <s v="Success"/>
    <n v="4497"/>
    <s v="PASS"/>
    <s v="PASS"/>
    <s v="PASS"/>
    <s v="PASS"/>
    <s v="PASS"/>
    <s v="PASS"/>
    <s v="OK"/>
    <n v="0"/>
    <x v="0"/>
    <n v="0"/>
    <x v="0"/>
    <x v="3"/>
  </r>
  <r>
    <x v="76"/>
    <s v="R-7078"/>
    <x v="69"/>
    <d v="2026-07-18T00:00:00"/>
    <n v="2299"/>
    <s v="Wallet"/>
    <x v="2"/>
    <s v="OK"/>
    <d v="2026-07-06T00:00:00"/>
    <s v="Received"/>
    <d v="2026-07-15T00:00:00"/>
    <s v="Changed Mind"/>
    <d v="2026-06-24T00:00:00"/>
    <x v="3"/>
    <x v="1"/>
    <s v="Dumbbell Set"/>
    <n v="2299"/>
    <s v="Delivered"/>
    <s v="Credit Card"/>
    <s v="Success"/>
    <n v="2299"/>
    <s v="PASS"/>
    <s v="PASS"/>
    <s v="PASS"/>
    <s v="PASS"/>
    <s v="PASS"/>
    <s v="PASS"/>
    <s v="OK"/>
    <n v="0"/>
    <x v="0"/>
    <n v="0"/>
    <x v="0"/>
    <x v="4"/>
  </r>
  <r>
    <x v="77"/>
    <s v="R-7062"/>
    <x v="70"/>
    <d v="2026-07-11T00:00:00"/>
    <n v="1499"/>
    <s v="Bank Transfer"/>
    <x v="3"/>
    <s v="OK"/>
    <d v="2026-06-28T00:00:00"/>
    <s v="Received"/>
    <d v="2026-07-05T00:00:00"/>
    <s v="Changed Mind"/>
    <d v="2026-06-15T00:00:00"/>
    <x v="0"/>
    <x v="4"/>
    <s v="Jeans"/>
    <n v="1499"/>
    <s v="Delivered"/>
    <s v="Credit Card"/>
    <s v="Success"/>
    <n v="1499"/>
    <s v="PASS"/>
    <s v="PASS"/>
    <s v="PASS"/>
    <s v="PASS"/>
    <s v="PASS"/>
    <s v="PASS"/>
    <s v="OK"/>
    <n v="0"/>
    <x v="0"/>
    <n v="0"/>
    <x v="0"/>
    <x v="4"/>
  </r>
  <r>
    <x v="78"/>
    <s v="R-7062"/>
    <x v="70"/>
    <d v="2026-07-13T00:00:00"/>
    <n v="1499"/>
    <s v="Bank Transfer"/>
    <x v="3"/>
    <s v="OK"/>
    <d v="2026-06-28T00:00:00"/>
    <s v="Received"/>
    <d v="2026-07-05T00:00:00"/>
    <s v="Changed Mind"/>
    <d v="2026-06-15T00:00:00"/>
    <x v="0"/>
    <x v="4"/>
    <s v="Jeans"/>
    <n v="1499"/>
    <s v="Delivered"/>
    <s v="Credit Card"/>
    <s v="Success"/>
    <n v="1499"/>
    <s v="PASS"/>
    <s v="PASS"/>
    <s v="PASS"/>
    <s v="PASS"/>
    <s v="FAIL"/>
    <s v="PASS"/>
    <s v="OK"/>
    <n v="1"/>
    <x v="4"/>
    <n v="1499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8E69C-BBD9-473B-BE9B-CB9F3D6BCF87}" name="pvt_approver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F24" firstHeaderRow="0" firstDataRow="1" firstDataCol="1"/>
  <pivotFields count="33">
    <pivotField dataField="1" showAll="0"/>
    <pivotField showAll="0"/>
    <pivotField showAll="0"/>
    <pivotField numFmtId="14" showAll="0"/>
    <pivotField dataField="1" showAll="0"/>
    <pivotField showAll="0"/>
    <pivotField axis="axisRow" showAll="0" sortType="descending">
      <items count="6">
        <item x="0"/>
        <item x="2"/>
        <item x="3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/>
    <pivotField showAll="0" sortType="descending"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6"/>
  </rowFields>
  <rowItems count="6">
    <i>
      <x v="1"/>
    </i>
    <i>
      <x/>
    </i>
    <i>
      <x v="3"/>
    </i>
    <i>
      <x v="2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Refunds" fld="0" subtotal="count" baseField="13" baseItem="5"/>
    <dataField name=" Refund Value" fld="4" baseField="13" baseItem="5" numFmtId="3"/>
    <dataField name="Exceptions" fld="31" baseField="13" baseItem="5"/>
    <dataField name="Exception Rate" fld="31" subtotal="average" baseField="13" baseItem="5" numFmtId="165"/>
    <dataField name="Value At Risk" fld="30" baseField="13" baseItem="5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6D56F-BE84-4ED6-91A8-F9762A7840C4}" name="pvt_catego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N9" firstHeaderRow="0" firstDataRow="1" firstDataCol="1"/>
  <pivotFields count="33">
    <pivotField dataField="1"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 sortType="descending">
      <items count="6">
        <item x="2"/>
        <item x="0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4"/>
  </rowFields>
  <rowItems count="6">
    <i>
      <x v="3"/>
    </i>
    <i>
      <x v="2"/>
    </i>
    <i>
      <x/>
    </i>
    <i>
      <x v="4"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Refunds" fld="0" subtotal="count" baseField="14" baseItem="0" numFmtId="1"/>
    <dataField name="Value At Risk" fld="30" baseField="14" baseItem="3" numFmtId="3"/>
    <dataField name="Exceptions" fld="31" baseField="14" baseItem="0" numFmtId="1"/>
    <dataField name="Exception Rate" fld="31" subtotal="average" baseField="14" baseItem="0" numFmtId="165"/>
    <dataField name="Refund Value" fld="4" baseField="14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C28E0-6C3D-474D-84F0-20D140056504}" name="pvt_Cit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3" firstHeaderRow="0" firstDataRow="1" firstDataCol="1"/>
  <pivotFields count="33">
    <pivotField dataField="1"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 sortType="descending">
      <items count="10">
        <item x="5"/>
        <item x="0"/>
        <item x="3"/>
        <item x="7"/>
        <item x="6"/>
        <item x="4"/>
        <item x="2"/>
        <item x="1"/>
        <item x="8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3"/>
  </rowFields>
  <rowItems count="10">
    <i>
      <x/>
    </i>
    <i>
      <x v="2"/>
    </i>
    <i>
      <x v="6"/>
    </i>
    <i>
      <x v="5"/>
    </i>
    <i>
      <x v="1"/>
    </i>
    <i>
      <x v="3"/>
    </i>
    <i>
      <x v="7"/>
    </i>
    <i>
      <x v="4"/>
    </i>
    <i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Refunds" fld="0" subtotal="count" baseField="13" baseItem="5"/>
    <dataField name=" Refund Value" fld="4" baseField="13" baseItem="5" numFmtId="3"/>
    <dataField name="Exceptions" fld="31" baseField="13" baseItem="5"/>
    <dataField name="Exception Rate" fld="31" subtotal="average" baseField="13" baseItem="5" numFmtId="165"/>
    <dataField name="Value At Risk" fld="30" baseField="13" baseItem="5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D3F8A-74F4-4BFD-BEA2-B59CA896B8D1}" name="pvt_investigat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5:F110" firstHeaderRow="0" firstDataRow="1" firstDataCol="4" rowPageCount="1" colPageCount="1"/>
  <pivotFields count="33">
    <pivotField axis="axisRow" compact="0" outline="0" showAll="0">
      <items count="80">
        <item x="26"/>
        <item x="56"/>
        <item x="12"/>
        <item x="5"/>
        <item x="58"/>
        <item x="1"/>
        <item x="68"/>
        <item x="20"/>
        <item x="70"/>
        <item x="22"/>
        <item x="34"/>
        <item x="73"/>
        <item x="4"/>
        <item x="42"/>
        <item x="72"/>
        <item x="49"/>
        <item x="9"/>
        <item x="71"/>
        <item x="28"/>
        <item x="75"/>
        <item x="55"/>
        <item x="2"/>
        <item x="6"/>
        <item x="69"/>
        <item x="16"/>
        <item x="41"/>
        <item x="32"/>
        <item x="65"/>
        <item x="45"/>
        <item x="44"/>
        <item x="35"/>
        <item x="25"/>
        <item x="24"/>
        <item x="40"/>
        <item x="57"/>
        <item x="64"/>
        <item x="18"/>
        <item x="52"/>
        <item x="43"/>
        <item x="10"/>
        <item x="36"/>
        <item x="31"/>
        <item x="33"/>
        <item x="39"/>
        <item x="48"/>
        <item x="23"/>
        <item x="47"/>
        <item x="11"/>
        <item x="66"/>
        <item x="74"/>
        <item x="30"/>
        <item x="29"/>
        <item x="77"/>
        <item x="38"/>
        <item x="15"/>
        <item x="53"/>
        <item x="8"/>
        <item x="61"/>
        <item x="62"/>
        <item x="50"/>
        <item x="13"/>
        <item x="76"/>
        <item x="21"/>
        <item x="37"/>
        <item x="0"/>
        <item x="7"/>
        <item x="19"/>
        <item x="17"/>
        <item x="46"/>
        <item x="59"/>
        <item x="78"/>
        <item x="67"/>
        <item x="27"/>
        <item x="51"/>
        <item x="3"/>
        <item x="60"/>
        <item x="63"/>
        <item x="54"/>
        <item x="1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72">
        <item x="32"/>
        <item x="21"/>
        <item x="55"/>
        <item x="56"/>
        <item x="44"/>
        <item x="28"/>
        <item x="66"/>
        <item x="4"/>
        <item x="43"/>
        <item x="26"/>
        <item x="33"/>
        <item x="10"/>
        <item x="11"/>
        <item x="23"/>
        <item x="8"/>
        <item x="0"/>
        <item x="1"/>
        <item x="27"/>
        <item x="39"/>
        <item x="61"/>
        <item x="17"/>
        <item x="45"/>
        <item x="37"/>
        <item x="58"/>
        <item x="60"/>
        <item x="2"/>
        <item x="15"/>
        <item x="34"/>
        <item x="14"/>
        <item x="12"/>
        <item x="68"/>
        <item x="9"/>
        <item x="64"/>
        <item x="13"/>
        <item x="18"/>
        <item x="65"/>
        <item x="24"/>
        <item x="70"/>
        <item x="62"/>
        <item x="40"/>
        <item x="31"/>
        <item x="41"/>
        <item x="63"/>
        <item x="3"/>
        <item x="48"/>
        <item x="38"/>
        <item x="42"/>
        <item x="5"/>
        <item x="30"/>
        <item x="69"/>
        <item x="57"/>
        <item x="59"/>
        <item x="19"/>
        <item x="36"/>
        <item x="20"/>
        <item x="29"/>
        <item x="51"/>
        <item x="54"/>
        <item x="67"/>
        <item x="53"/>
        <item x="6"/>
        <item x="25"/>
        <item x="52"/>
        <item x="46"/>
        <item x="49"/>
        <item x="7"/>
        <item x="47"/>
        <item x="50"/>
        <item x="22"/>
        <item x="35"/>
        <item x="1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6">
        <item x="0"/>
        <item x="2"/>
        <item x="3"/>
        <item x="1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7">
        <item x="0"/>
        <item x="1"/>
        <item x="5"/>
        <item x="2"/>
        <item x="4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29"/>
    <field x="0"/>
    <field x="2"/>
    <field x="6"/>
  </rowFields>
  <rowItems count="75">
    <i>
      <x v="1"/>
      <x v="74"/>
      <x v="43"/>
      <x v="1"/>
    </i>
    <i t="default" r="2">
      <x v="43"/>
    </i>
    <i t="default" r="1">
      <x v="74"/>
    </i>
    <i r="1">
      <x v="75"/>
      <x v="57"/>
      <x v="1"/>
    </i>
    <i t="default" r="2">
      <x v="57"/>
    </i>
    <i t="default" r="1">
      <x v="75"/>
    </i>
    <i r="1">
      <x v="76"/>
      <x v="50"/>
      <x/>
    </i>
    <i t="default" r="2">
      <x v="50"/>
    </i>
    <i t="default" r="1">
      <x v="76"/>
    </i>
    <i r="1">
      <x v="77"/>
      <x v="64"/>
      <x/>
    </i>
    <i t="default" r="2">
      <x v="64"/>
    </i>
    <i t="default" r="1">
      <x v="77"/>
    </i>
    <i r="1">
      <x v="78"/>
      <x v="33"/>
      <x v="1"/>
    </i>
    <i t="default" r="2">
      <x v="33"/>
    </i>
    <i t="default" r="1">
      <x v="78"/>
    </i>
    <i t="default">
      <x v="1"/>
    </i>
    <i>
      <x v="2"/>
      <x v="40"/>
      <x v="10"/>
      <x/>
    </i>
    <i t="default" r="2">
      <x v="10"/>
    </i>
    <i t="default" r="1">
      <x v="40"/>
    </i>
    <i t="default">
      <x v="2"/>
    </i>
    <i>
      <x v="3"/>
      <x v="3"/>
      <x v="47"/>
      <x v="1"/>
    </i>
    <i t="default" r="2">
      <x v="47"/>
    </i>
    <i t="default" r="1">
      <x v="3"/>
    </i>
    <i r="1">
      <x v="8"/>
      <x v="42"/>
      <x v="1"/>
    </i>
    <i t="default" r="2">
      <x v="42"/>
    </i>
    <i t="default" r="1">
      <x v="8"/>
    </i>
    <i r="1">
      <x v="10"/>
      <x v="40"/>
      <x v="3"/>
    </i>
    <i t="default" r="2">
      <x v="40"/>
    </i>
    <i t="default" r="1">
      <x v="10"/>
    </i>
    <i r="1">
      <x v="29"/>
      <x v="41"/>
      <x/>
    </i>
    <i t="default" r="2">
      <x v="41"/>
    </i>
    <i t="default" r="1">
      <x v="29"/>
    </i>
    <i r="1">
      <x v="30"/>
      <x/>
      <x v="2"/>
    </i>
    <i t="default" r="2">
      <x/>
    </i>
    <i t="default" r="1">
      <x v="30"/>
    </i>
    <i r="1">
      <x v="44"/>
      <x v="4"/>
      <x v="3"/>
    </i>
    <i t="default" r="2">
      <x v="4"/>
    </i>
    <i t="default" r="1">
      <x v="44"/>
    </i>
    <i r="1">
      <x v="45"/>
      <x v="1"/>
      <x v="3"/>
    </i>
    <i t="default" r="2">
      <x v="1"/>
    </i>
    <i t="default" r="1">
      <x v="45"/>
    </i>
    <i r="1">
      <x v="49"/>
      <x v="58"/>
      <x v="3"/>
    </i>
    <i t="default" r="2">
      <x v="58"/>
    </i>
    <i t="default" r="1">
      <x v="49"/>
    </i>
    <i t="default">
      <x v="3"/>
    </i>
    <i>
      <x v="4"/>
      <x v="67"/>
      <x v="26"/>
      <x v="1"/>
    </i>
    <i t="default" r="2">
      <x v="26"/>
    </i>
    <i t="default" r="1">
      <x v="67"/>
    </i>
    <i r="1">
      <x v="68"/>
      <x v="46"/>
      <x/>
    </i>
    <i t="default" r="2">
      <x v="46"/>
    </i>
    <i t="default" r="1">
      <x v="68"/>
    </i>
    <i r="1">
      <x v="69"/>
      <x v="59"/>
      <x/>
    </i>
    <i t="default" r="2">
      <x v="59"/>
    </i>
    <i t="default" r="1">
      <x v="69"/>
    </i>
    <i r="1">
      <x v="70"/>
      <x v="37"/>
      <x v="2"/>
    </i>
    <i t="default" r="2">
      <x v="37"/>
    </i>
    <i t="default" r="1">
      <x v="70"/>
    </i>
    <i r="1">
      <x v="71"/>
      <x v="24"/>
      <x v="3"/>
    </i>
    <i t="default" r="2">
      <x v="24"/>
    </i>
    <i t="default" r="1">
      <x v="71"/>
    </i>
    <i r="1">
      <x v="72"/>
      <x v="36"/>
      <x/>
    </i>
    <i t="default" r="2">
      <x v="36"/>
    </i>
    <i t="default" r="1">
      <x v="72"/>
    </i>
    <i r="1">
      <x v="73"/>
      <x v="63"/>
      <x/>
    </i>
    <i t="default" r="2">
      <x v="63"/>
    </i>
    <i t="default" r="1">
      <x v="73"/>
    </i>
    <i t="default">
      <x v="4"/>
    </i>
    <i>
      <x v="5"/>
      <x v="13"/>
      <x v="18"/>
      <x v="3"/>
    </i>
    <i t="default" r="2">
      <x v="18"/>
    </i>
    <i t="default" r="1">
      <x v="13"/>
    </i>
    <i r="1">
      <x v="56"/>
      <x v="14"/>
      <x v="2"/>
    </i>
    <i t="default" r="2">
      <x v="14"/>
    </i>
    <i t="default" r="1">
      <x v="56"/>
    </i>
    <i t="default"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31" item="1" hier="-1"/>
  </pageFields>
  <dataFields count="2">
    <dataField name="Sum of Refund_Amount" fld="4" baseField="0" baseItem="0"/>
    <dataField name="Sum of Value_At_Risk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D01F1-CCD4-438E-A52F-744EC8C3A6D4}" name="pvt_month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8:N26" firstHeaderRow="0" firstDataRow="1" firstDataCol="1"/>
  <pivotFields count="33">
    <pivotField dataField="1"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 sortType="descending"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8">
        <item x="6"/>
        <item x="5"/>
        <item x="0"/>
        <item x="2"/>
        <item x="1"/>
        <item x="3"/>
        <item x="4"/>
        <item t="default"/>
      </items>
    </pivotField>
  </pivotFields>
  <rowFields count="1">
    <field x="3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Refunds" fld="0" subtotal="count" baseField="13" baseItem="5"/>
    <dataField name=" Refund Value" fld="4" baseField="13" baseItem="5" numFmtId="3"/>
    <dataField name="Exceptions" fld="31" baseField="13" baseItem="5"/>
    <dataField name="Exception Rate" fld="31" subtotal="average" baseField="13" baseItem="5" numFmtId="165"/>
    <dataField name="Value At Risk" fld="30" baseField="13" baseItem="5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9BFB4-4165-44FF-94FB-6CA0095A52E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9" firstHeaderRow="1" firstDataRow="1" firstDataCol="1"/>
  <pivotFields count="33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h="1" x="0"/>
        <item x="1"/>
        <item x="5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29"/>
  </rowFields>
  <rowItems count="6">
    <i>
      <x v="4"/>
    </i>
    <i>
      <x v="1"/>
    </i>
    <i>
      <x v="3"/>
    </i>
    <i>
      <x v="5"/>
    </i>
    <i>
      <x v="2"/>
    </i>
    <i t="grand">
      <x/>
    </i>
  </rowItems>
  <colItems count="1">
    <i/>
  </colItems>
  <dataFields count="1">
    <dataField name="Sum of Value_At_Risk" fld="3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F26C8-689E-4642-87DC-C89633F7693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8:B46" firstHeaderRow="1" firstDataRow="1" firstDataCol="1"/>
  <pivotFields count="33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8">
        <item x="6"/>
        <item x="5"/>
        <item x="0"/>
        <item x="2"/>
        <item x="1"/>
        <item x="3"/>
        <item x="4"/>
        <item t="default"/>
      </items>
    </pivotField>
  </pivotFields>
  <rowFields count="1">
    <field x="3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Value_At_Risk" fld="3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E478E-452E-41EA-A457-3BDEA533879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8:B28" firstHeaderRow="1" firstDataRow="1" firstDataCol="1"/>
  <pivotFields count="33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 sortType="descending">
      <items count="10">
        <item x="5"/>
        <item x="0"/>
        <item x="3"/>
        <item x="7"/>
        <item x="6"/>
        <item x="4"/>
        <item x="2"/>
        <item x="1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3"/>
  </rowFields>
  <rowItems count="10">
    <i>
      <x/>
    </i>
    <i>
      <x v="2"/>
    </i>
    <i>
      <x v="6"/>
    </i>
    <i>
      <x v="5"/>
    </i>
    <i>
      <x v="1"/>
    </i>
    <i>
      <x v="3"/>
    </i>
    <i>
      <x v="7"/>
    </i>
    <i>
      <x v="4"/>
    </i>
    <i>
      <x v="8"/>
    </i>
    <i t="grand">
      <x/>
    </i>
  </rowItems>
  <colItems count="1">
    <i/>
  </colItems>
  <dataFields count="1">
    <dataField name="Sum of Value_At_Risk" fld="3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8335E6E6-9BCA-4D0B-9828-BDD99408AEC4}" autoFormatId="16" applyNumberFormats="0" applyBorderFormats="0" applyFontFormats="0" applyPatternFormats="0" applyAlignmentFormats="0" applyWidthHeightFormats="0">
  <queryTableRefresh nextId="34" unboundColumnsRight="12">
    <queryTableFields count="33">
      <queryTableField id="1" name="Refund_ID" tableColumnId="1"/>
      <queryTableField id="2" name="Return_ID" tableColumnId="2"/>
      <queryTableField id="3" name="Order_ID" tableColumnId="3"/>
      <queryTableField id="4" name="Refund_Date" tableColumnId="4"/>
      <queryTableField id="5" name="Refund_Amount" tableColumnId="5"/>
      <queryTableField id="6" name="Refund_Method" tableColumnId="6"/>
      <queryTableField id="7" name="Approved_By" tableColumnId="7"/>
      <queryTableField id="8" name="Amount_Flag" tableColumnId="8"/>
      <queryTableField id="9" name="Return_Request_Date" tableColumnId="9"/>
      <queryTableField id="10" name="Return_Status" tableColumnId="10"/>
      <queryTableField id="11" name="Warehouse_Received_Date" tableColumnId="11"/>
      <queryTableField id="12" name="Return_Reason" tableColumnId="12"/>
      <queryTableField id="13" name="Order_Date" tableColumnId="13"/>
      <queryTableField id="14" name="City" tableColumnId="14"/>
      <queryTableField id="15" name="Category" tableColumnId="15"/>
      <queryTableField id="16" name="Product" tableColumnId="16"/>
      <queryTableField id="17" name="Order_Amount" tableColumnId="17"/>
      <queryTableField id="18" name="Order_Status" tableColumnId="18"/>
      <queryTableField id="19" name="Payment_Mode" tableColumnId="19"/>
      <queryTableField id="20" name="Payment_Status" tableColumnId="20"/>
      <queryTableField id="21" name="Amount_Paid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1" dataBound="0" tableColumnId="31"/>
      <queryTableField id="32" dataBound="0" tableColumnId="32"/>
      <queryTableField id="33" dataBound="0" tableColumnId="3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D15A316-5587-4BB7-8174-44AA0494C51A}" autoFormatId="16" applyNumberFormats="0" applyBorderFormats="0" applyFontFormats="0" applyPatternFormats="0" applyAlignmentFormats="0" applyWidthHeightFormats="0">
  <queryTableRefresh nextId="14">
    <queryTableFields count="13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City" tableColumnId="5"/>
      <queryTableField id="6" name="Category" tableColumnId="6"/>
      <queryTableField id="7" name="Product" tableColumnId="7"/>
      <queryTableField id="8" name="Quantity" tableColumnId="8"/>
      <queryTableField id="9" name="Unit_Price" tableColumnId="9"/>
      <queryTableField id="10" name="Order_Amount" tableColumnId="10"/>
      <queryTableField id="11" name="Order_Status" tableColumnId="11"/>
      <queryTableField id="12" name="Amount_Flag" tableColumnId="12"/>
      <queryTableField id="13" name="Order_Month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786D5BB-C4BB-4245-8EEB-9067A5CE2216}" autoFormatId="16" applyNumberFormats="0" applyBorderFormats="0" applyFontFormats="0" applyPatternFormats="0" applyAlignmentFormats="0" applyWidthHeightFormats="0">
  <queryTableRefresh nextId="7">
    <queryTableFields count="6">
      <queryTableField id="1" name="Payment_ID" tableColumnId="1"/>
      <queryTableField id="2" name="Order_ID" tableColumnId="2"/>
      <queryTableField id="3" name="Payment_Date" tableColumnId="3"/>
      <queryTableField id="4" name="Payment_Mode" tableColumnId="4"/>
      <queryTableField id="5" name="Amount_Paid" tableColumnId="5"/>
      <queryTableField id="6" name="Payment_Statu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27B6AD1-8D47-4D57-88A9-D431F3C9EBA4}" autoFormatId="16" applyNumberFormats="0" applyBorderFormats="0" applyFontFormats="0" applyPatternFormats="0" applyAlignmentFormats="0" applyWidthHeightFormats="0">
  <queryTableRefresh nextId="7">
    <queryTableFields count="6">
      <queryTableField id="1" name="Return_ID" tableColumnId="1"/>
      <queryTableField id="2" name="Order_ID" tableColumnId="2"/>
      <queryTableField id="3" name="Return_Request_Date" tableColumnId="3"/>
      <queryTableField id="4" name="Return_Reason" tableColumnId="4"/>
      <queryTableField id="5" name="Return_Status" tableColumnId="5"/>
      <queryTableField id="6" name="Warehouse_Received_Date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76BB2A2-E739-4B8D-9F59-B8AABCC575F4}" autoFormatId="16" applyNumberFormats="0" applyBorderFormats="0" applyFontFormats="0" applyPatternFormats="0" applyAlignmentFormats="0" applyWidthHeightFormats="0">
  <queryTableRefresh nextId="9">
    <queryTableFields count="8">
      <queryTableField id="1" name="Refund_ID" tableColumnId="1"/>
      <queryTableField id="2" name="Return_ID" tableColumnId="2"/>
      <queryTableField id="3" name="Order_ID" tableColumnId="3"/>
      <queryTableField id="4" name="Refund_Date" tableColumnId="4"/>
      <queryTableField id="5" name="Refund_Amount" tableColumnId="5"/>
      <queryTableField id="6" name="Refund_Method" tableColumnId="6"/>
      <queryTableField id="7" name="Approved_By" tableColumnId="7"/>
      <queryTableField id="8" name="Amount_Flag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8E83E23-34FA-47AE-8819-16A5891F748C}" name="rec_Refunds" displayName="rec_Refunds" ref="A1:AG80" tableType="queryTable" totalsRowShown="0">
  <autoFilter ref="A1:AG80" xr:uid="{18E83E23-34FA-47AE-8819-16A5891F748C}"/>
  <tableColumns count="33">
    <tableColumn id="1" xr3:uid="{EA2CFCA4-1BC3-4D8C-AB54-95F393C8C45C}" uniqueName="1" name="Refund_ID" queryTableFieldId="1" dataDxfId="103"/>
    <tableColumn id="2" xr3:uid="{495348BD-0BBC-4725-AB6A-8C0CFCC6F9FD}" uniqueName="2" name="Return_ID" queryTableFieldId="2" dataDxfId="102"/>
    <tableColumn id="3" xr3:uid="{71B4DEEB-70BE-4835-BEF8-507B851181B7}" uniqueName="3" name="Order_ID" queryTableFieldId="3" dataDxfId="101"/>
    <tableColumn id="4" xr3:uid="{6200A7FB-9416-4FF5-8DF3-91DDD74BCC93}" uniqueName="4" name="Refund_Date" queryTableFieldId="4" dataDxfId="100"/>
    <tableColumn id="5" xr3:uid="{17EE0929-C15E-4830-8113-84D28887539E}" uniqueName="5" name="Refund_Amount" queryTableFieldId="5"/>
    <tableColumn id="6" xr3:uid="{206D50CC-B919-4E40-AB7C-D18AE94726BA}" uniqueName="6" name="Refund_Method" queryTableFieldId="6" dataDxfId="99"/>
    <tableColumn id="7" xr3:uid="{F713EC90-1A6B-4C71-8270-F7A3E1373913}" uniqueName="7" name="Approved_By" queryTableFieldId="7" dataDxfId="98"/>
    <tableColumn id="8" xr3:uid="{67E6597F-26C9-4143-AEB8-CC88ECA252B2}" uniqueName="8" name="Amount_Flag" queryTableFieldId="8" dataDxfId="97"/>
    <tableColumn id="9" xr3:uid="{1733C408-7152-4447-8BCB-027C82C81F42}" uniqueName="9" name="Return_Request_Date" queryTableFieldId="9" dataDxfId="96"/>
    <tableColumn id="10" xr3:uid="{8474FFDD-CE32-4B65-AEF3-225D0570E04F}" uniqueName="10" name="Return_Status" queryTableFieldId="10" dataDxfId="95"/>
    <tableColumn id="11" xr3:uid="{67904ECA-3F24-4518-9B3F-B4E4046EB2E8}" uniqueName="11" name="Warehouse_Received_Date" queryTableFieldId="11" dataDxfId="94"/>
    <tableColumn id="12" xr3:uid="{DA1E7114-F94A-484F-86FC-E1FBCA4F7EE2}" uniqueName="12" name="Return_Reason" queryTableFieldId="12" dataDxfId="93"/>
    <tableColumn id="13" xr3:uid="{F60628D0-2FAB-42F0-AA00-91F970D4588D}" uniqueName="13" name="Order_Date" queryTableFieldId="13" dataDxfId="92"/>
    <tableColumn id="14" xr3:uid="{506EF0DE-E8B2-433B-BEA0-521E0F66AD3A}" uniqueName="14" name="City" queryTableFieldId="14" dataDxfId="91"/>
    <tableColumn id="15" xr3:uid="{57FB9DC9-045B-42DA-A055-5C3B54B0EEE9}" uniqueName="15" name="Category" queryTableFieldId="15" dataDxfId="90"/>
    <tableColumn id="16" xr3:uid="{1A2E1CE7-6587-45B1-B64C-FF92197E61A2}" uniqueName="16" name="Product" queryTableFieldId="16" dataDxfId="89"/>
    <tableColumn id="17" xr3:uid="{07081578-A74A-431E-A599-C9DCF052358C}" uniqueName="17" name="Order_Amount" queryTableFieldId="17"/>
    <tableColumn id="18" xr3:uid="{0594AEF6-0F6F-4530-973C-008AD985ABCF}" uniqueName="18" name="Order_Status" queryTableFieldId="18" dataDxfId="88"/>
    <tableColumn id="19" xr3:uid="{13582A76-3A45-44BC-9E6F-09A82F2D83EF}" uniqueName="19" name="Payment_Mode" queryTableFieldId="19" dataDxfId="87"/>
    <tableColumn id="20" xr3:uid="{66453111-5940-468C-8551-06561D2F9FA1}" uniqueName="20" name="Payment_Status" queryTableFieldId="20" dataDxfId="86"/>
    <tableColumn id="21" xr3:uid="{9B228DFF-49C2-41D4-A0CD-E63FD8B6F981}" uniqueName="21" name="Amount_Paid" queryTableFieldId="21"/>
    <tableColumn id="22" xr3:uid="{45433844-0585-4380-BDC3-6FBA182D0B07}" uniqueName="22" name="R1_Has_Return" queryTableFieldId="22" dataDxfId="85">
      <calculatedColumnFormula>IF(rec_Refunds[[#This Row],[Return_Status]]="","FAIL","PASS")</calculatedColumnFormula>
    </tableColumn>
    <tableColumn id="23" xr3:uid="{92746EC9-86CA-4EC7-8453-7EAFA6E71592}" uniqueName="23" name="R2_Return_Received" queryTableFieldId="23" dataDxfId="84">
      <calculatedColumnFormula>IF(rec_Refunds[[#This Row],[Return_Status]]="","N/A",IF(rec_Refunds[[#This Row],[Return_Status]]="Received","PASS","FAIL"))</calculatedColumnFormula>
    </tableColumn>
    <tableColumn id="24" xr3:uid="{1854AD56-0FC0-48F9-8C17-3BF80291163F}" uniqueName="24" name="R3_Payment_Success" queryTableFieldId="24" dataDxfId="83">
      <calculatedColumnFormula>IF(rec_Refunds[[#This Row],[Payment_Status]]="Success","PASS","FAIL")</calculatedColumnFormula>
    </tableColumn>
    <tableColumn id="25" xr3:uid="{19B29B38-7FBC-4428-A01D-3273511FB4BB}" uniqueName="25" name="R4_Within_Paid" queryTableFieldId="25" dataDxfId="82">
      <calculatedColumnFormula>IF(rec_Refunds[[#This Row],[R3_Payment_Success]]="FAIL","N/A",IF(rec_Refunds[[#This Row],[Refund_Amount]]&gt;rec_Refunds[[#This Row],[Amount_Paid]],"FAIL","PASS"))</calculatedColumnFormula>
    </tableColumn>
    <tableColumn id="26" xr3:uid="{79B44526-21D4-478D-B27C-C8F9B0D77C1C}" uniqueName="26" name="R5_Single_Refund" queryTableFieldId="26" dataDxfId="81">
      <calculatedColumnFormula>IF(rec_Refunds[[#This Row],[Return_ID]]="","N/A",IF(COUNTIFS(rec_Refunds[Return_ID],rec_Refunds[[#This Row],[Return_ID]],rec_Refunds[Refund_Date],"&lt;"&amp;rec_Refunds[[#This Row],[Refund_Date]])&gt;0,"FAIL","PASS"))</calculatedColumnFormula>
    </tableColumn>
    <tableColumn id="27" xr3:uid="{60799B10-5CB3-41F3-8C58-A015B11FFF74}" uniqueName="27" name="R6_Within_Window" queryTableFieldId="27" dataDxfId="80">
      <calculatedColumnFormula>IF(rec_Refunds[[#This Row],[Return_Request_Date]]="","N/A",IF(rec_Refunds[[#This Row],[Return_Request_Date]]-rec_Refunds[[#This Row],[Order_Date]]&gt;30,"FAIL","PASS"))</calculatedColumnFormula>
    </tableColumn>
    <tableColumn id="28" xr3:uid="{C416B28F-2D80-488D-87B1-CD0237FC329C}" uniqueName="28" name="DQ_Date_Logic" queryTableFieldId="28" dataDxfId="79">
      <calculatedColumnFormula>IF(rec_Refunds[[#This Row],[Return_Request_Date]]="","N/A",IF(rec_Refunds[[#This Row],[Return_Request_Date]]&lt;rec_Refunds[[#This Row],[Order_Date]],"CHECK","OK"))</calculatedColumnFormula>
    </tableColumn>
    <tableColumn id="29" xr3:uid="{F9029BC8-A838-476A-9761-7059E343BFD9}" uniqueName="29" name="Rules_Failed" queryTableFieldId="29" dataDxfId="78">
      <calculatedColumnFormula>COUNTIF(rec_Refunds[[#This Row],[R1_Has_Return]:[R6_Within_Window]],"FAIL")</calculatedColumnFormula>
    </tableColumn>
    <tableColumn id="30" xr3:uid="{479D4C31-4412-41EB-AC63-37946CCA729B}" uniqueName="30" name="Exception_Type" queryTableFieldId="30" dataDxfId="77">
      <calculatedColumnFormula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calculatedColumnFormula>
    </tableColumn>
    <tableColumn id="31" xr3:uid="{28CFDA8C-FA40-4CB6-A395-60B708C8160D}" uniqueName="31" name="Value_At_Risk" queryTableFieldId="31" dataDxfId="76">
      <calculatedColumnFormula>IF(rec_Refunds[[#This Row],[Exception_Type]]="None",0,IF(LEFT(rec_Refunds[[#This Row],[Exception_Type]],2)="R4",rec_Refunds[[#This Row],[Refund_Amount]]-rec_Refunds[[#This Row],[Amount_Paid]],rec_Refunds[[#This Row],[Refund_Amount]]))</calculatedColumnFormula>
    </tableColumn>
    <tableColumn id="32" xr3:uid="{E40D0480-C4FC-4527-A230-34AC67B56576}" uniqueName="32" name="Is_Exception" queryTableFieldId="32" dataDxfId="75">
      <calculatedColumnFormula>IF(rec_Refunds[[#This Row],[Exception_Type]]="None",0,1)</calculatedColumnFormula>
    </tableColumn>
    <tableColumn id="33" xr3:uid="{1DCC3445-7DEF-454A-B816-07FED476D1A4}" uniqueName="33" name="Refund_Month" queryTableFieldId="33" dataDxfId="74">
      <calculatedColumnFormula>TEXT(rec_Refunds[[#This Row],[Refund_Date]],"yyyy-mm")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721AC3-90E8-48FA-96F6-B5153AF74655}" name="clean_Orders" displayName="clean_Orders" ref="A1:M401" tableType="queryTable" totalsRowShown="0">
  <autoFilter ref="A1:M401" xr:uid="{E3721AC3-90E8-48FA-96F6-B5153AF74655}"/>
  <tableColumns count="13">
    <tableColumn id="1" xr3:uid="{97105D0D-9AFE-46BF-9572-DD45905A625D}" uniqueName="1" name="Order_ID" queryTableFieldId="1" dataDxfId="73"/>
    <tableColumn id="2" xr3:uid="{44EFED7C-9DC1-4B35-A2C1-23CA6EAB93B9}" uniqueName="2" name="Order_Date" queryTableFieldId="2" dataDxfId="72"/>
    <tableColumn id="3" xr3:uid="{37C4FD3A-4A0D-4978-BD72-210909E2D4E2}" uniqueName="3" name="Customer_ID" queryTableFieldId="3" dataDxfId="71"/>
    <tableColumn id="4" xr3:uid="{7AF86037-2517-43A4-B49F-BED148409F13}" uniqueName="4" name="Customer_Name" queryTableFieldId="4" dataDxfId="70"/>
    <tableColumn id="5" xr3:uid="{9324B9BF-3CB7-421E-B7E8-0CD1510026D1}" uniqueName="5" name="City" queryTableFieldId="5" dataDxfId="69"/>
    <tableColumn id="6" xr3:uid="{B09463D5-8A91-45D0-AAC9-A8BF9ED81ECF}" uniqueName="6" name="Category" queryTableFieldId="6" dataDxfId="68"/>
    <tableColumn id="7" xr3:uid="{130C7ED8-4CA9-4AD5-95F8-FA4456EE8171}" uniqueName="7" name="Product" queryTableFieldId="7" dataDxfId="67"/>
    <tableColumn id="8" xr3:uid="{928D35A5-6163-4CA9-8AE1-5D3BCB1C552C}" uniqueName="8" name="Quantity" queryTableFieldId="8"/>
    <tableColumn id="9" xr3:uid="{7975EC23-347D-4EDE-BC36-19A2160347CD}" uniqueName="9" name="Unit_Price" queryTableFieldId="9"/>
    <tableColumn id="10" xr3:uid="{8E143673-C8EF-40E6-BE87-009DB1120BCF}" uniqueName="10" name="Order_Amount" queryTableFieldId="10"/>
    <tableColumn id="11" xr3:uid="{504D2FC5-3E1D-4BBC-AA21-0EDEF820B641}" uniqueName="11" name="Order_Status" queryTableFieldId="11" dataDxfId="66"/>
    <tableColumn id="12" xr3:uid="{F81191C3-42FB-498C-B360-C81EDD7103E2}" uniqueName="12" name="Amount_Flag" queryTableFieldId="12" dataDxfId="65"/>
    <tableColumn id="13" xr3:uid="{A3D97B0E-0163-4C22-A27B-4AE681201D84}" uniqueName="13" name="Order_Month" queryTableFieldId="13" dataDxfId="6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E9834AF-96D1-407C-AC82-AB5BBEF605D4}" name="clean_Payments" displayName="clean_Payments" ref="A1:F375" tableType="queryTable" totalsRowShown="0">
  <autoFilter ref="A1:F375" xr:uid="{1E9834AF-96D1-407C-AC82-AB5BBEF605D4}"/>
  <tableColumns count="6">
    <tableColumn id="1" xr3:uid="{C707C6B6-5A7A-4275-A69B-3BF1BF7CB0AC}" uniqueName="1" name="Payment_ID" queryTableFieldId="1" dataDxfId="63"/>
    <tableColumn id="2" xr3:uid="{F8789BD2-6AEB-4DC7-97E6-57A91B592863}" uniqueName="2" name="Order_ID" queryTableFieldId="2" dataDxfId="62"/>
    <tableColumn id="3" xr3:uid="{0E8622A0-97D1-406E-B635-095CEFD3A73F}" uniqueName="3" name="Payment_Date" queryTableFieldId="3" dataDxfId="61"/>
    <tableColumn id="4" xr3:uid="{D9B5389A-ED8C-4A2A-A0ED-D8B1E3E4064D}" uniqueName="4" name="Payment_Mode" queryTableFieldId="4" dataDxfId="60"/>
    <tableColumn id="5" xr3:uid="{1FC204F9-5FC4-4E18-9FA5-75B1511B9A96}" uniqueName="5" name="Amount_Paid" queryTableFieldId="5"/>
    <tableColumn id="6" xr3:uid="{250274E2-B8B8-453C-B7E6-98E778CBD098}" uniqueName="6" name="Payment_Status" queryTableFieldId="6" dataDxfId="5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EEB2DA-5B65-4687-A4E6-A5C919E0261F}" name="clean_Returns" displayName="clean_Returns" ref="A1:F87" tableType="queryTable" totalsRowShown="0">
  <autoFilter ref="A1:F87" xr:uid="{76EEB2DA-5B65-4687-A4E6-A5C919E0261F}"/>
  <tableColumns count="6">
    <tableColumn id="1" xr3:uid="{EF67C245-F5B2-481C-B939-08545054C87E}" uniqueName="1" name="Return_ID" queryTableFieldId="1" dataDxfId="58"/>
    <tableColumn id="2" xr3:uid="{7D21DF56-AC62-4487-9159-ECA04784CF1E}" uniqueName="2" name="Order_ID" queryTableFieldId="2" dataDxfId="57"/>
    <tableColumn id="3" xr3:uid="{7014CD8E-7061-4340-A3DC-A1A824C5ABAD}" uniqueName="3" name="Return_Request_Date" queryTableFieldId="3" dataDxfId="56"/>
    <tableColumn id="4" xr3:uid="{FEF26223-0347-4642-86AD-A9B04F0E98B8}" uniqueName="4" name="Return_Reason" queryTableFieldId="4" dataDxfId="55"/>
    <tableColumn id="5" xr3:uid="{EE10A311-82F4-4AA8-8518-8A651D63CAEF}" uniqueName="5" name="Return_Status" queryTableFieldId="5" dataDxfId="54"/>
    <tableColumn id="6" xr3:uid="{380B348B-8A8E-45A2-A6E3-76BF1084586D}" uniqueName="6" name="Warehouse_Received_Date" queryTableFieldId="6" dataDxfId="5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5584273-0673-446E-8658-6FC356111FA3}" name="clean_Refunds" displayName="clean_Refunds" ref="A1:H80" tableType="queryTable" totalsRowShown="0">
  <autoFilter ref="A1:H80" xr:uid="{75584273-0673-446E-8658-6FC356111FA3}"/>
  <tableColumns count="8">
    <tableColumn id="1" xr3:uid="{CB8C6CEE-0DA8-4C11-903B-3006E5B91EC3}" uniqueName="1" name="Refund_ID" queryTableFieldId="1" dataDxfId="52"/>
    <tableColumn id="2" xr3:uid="{199A8075-B766-4AFE-9F1F-938F017CC893}" uniqueName="2" name="Return_ID" queryTableFieldId="2" dataDxfId="51"/>
    <tableColumn id="3" xr3:uid="{AA80EF56-1A69-4D17-A544-89A63B5D868B}" uniqueName="3" name="Order_ID" queryTableFieldId="3" dataDxfId="50"/>
    <tableColumn id="4" xr3:uid="{C4E5A283-2806-4787-8B6F-C0031FA5AF87}" uniqueName="4" name="Refund_Date" queryTableFieldId="4" dataDxfId="49"/>
    <tableColumn id="5" xr3:uid="{7E7B0F17-F629-48DD-B1C6-E0A47E92BE40}" uniqueName="5" name="Refund_Amount" queryTableFieldId="5"/>
    <tableColumn id="6" xr3:uid="{69F5F388-DFE4-465A-9FFE-F52624FEBD0D}" uniqueName="6" name="Refund_Method" queryTableFieldId="6" dataDxfId="48"/>
    <tableColumn id="7" xr3:uid="{C1F96070-E952-470E-94BC-DF3274BE6969}" uniqueName="7" name="Approved_By" queryTableFieldId="7" dataDxfId="47"/>
    <tableColumn id="8" xr3:uid="{B352A404-A051-47FC-A59F-49F7E06B8E4C}" uniqueName="8" name="Amount_Flag" queryTableFieldId="8" dataDxfId="4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145960-46B6-4CCD-80FC-F9AA01FBEF05}" name="tbl_Orders" displayName="tbl_Orders" ref="A1:K411" totalsRowShown="0" headerRowDxfId="45" dataDxfId="44">
  <autoFilter ref="A1:K411" xr:uid="{6E145960-46B6-4CCD-80FC-F9AA01FBEF05}"/>
  <tableColumns count="11">
    <tableColumn id="1" xr3:uid="{C899E9CC-4874-43D7-8ACC-3743E397B3F6}" name="Order_ID" dataDxfId="43"/>
    <tableColumn id="2" xr3:uid="{7EAEE852-50E1-4841-B27B-FC151D5F6064}" name="Order_Date" dataDxfId="42"/>
    <tableColumn id="3" xr3:uid="{BC389BFC-73C6-4320-A291-38812BB20B20}" name="Customer_ID" dataDxfId="41"/>
    <tableColumn id="4" xr3:uid="{3388D939-D93C-4323-A58A-049B89EC5BC0}" name="Customer_Name" dataDxfId="40"/>
    <tableColumn id="5" xr3:uid="{84DE8B53-3E43-4CEB-A04F-4B50623DBC4B}" name="City" dataDxfId="39"/>
    <tableColumn id="6" xr3:uid="{D6CF6FDE-194F-4188-B3BB-6FB33033143F}" name="Category" dataDxfId="38"/>
    <tableColumn id="7" xr3:uid="{993878D1-DCE5-4863-9028-F8314A66A893}" name="Product" dataDxfId="37"/>
    <tableColumn id="8" xr3:uid="{B12E80D6-0F7D-40DB-B123-CA9CC2BE2C43}" name="Quantity" dataDxfId="36"/>
    <tableColumn id="9" xr3:uid="{3E7054D6-DE96-4F19-AB48-C31E10241A3B}" name="Unit_Price" dataDxfId="35"/>
    <tableColumn id="10" xr3:uid="{C02007A7-BC12-494C-992C-B30F0CFE9810}" name="Order_Amount" dataDxfId="34"/>
    <tableColumn id="11" xr3:uid="{8B021EA6-EE08-49B2-B06B-1855AB51252E}" name="Order_Status" dataDxfId="3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E4503D-9DA1-41BB-BB55-C05FAB490057}" name="tbl_Payments" displayName="tbl_Payments" ref="A1:F379" totalsRowShown="0" headerRowDxfId="32" dataDxfId="31">
  <autoFilter ref="A1:F379" xr:uid="{22E4503D-9DA1-41BB-BB55-C05FAB490057}"/>
  <tableColumns count="6">
    <tableColumn id="1" xr3:uid="{B792F974-627D-4804-8D19-CF1B9578D3B1}" name="Payment_ID" dataDxfId="30"/>
    <tableColumn id="2" xr3:uid="{03B92B99-2FBC-4397-85DD-BB3DE74095AE}" name="Order_ID" dataDxfId="29"/>
    <tableColumn id="3" xr3:uid="{839E0FB1-45F7-48F2-97AE-4D34E8E715A3}" name="Payment_Date" dataDxfId="28"/>
    <tableColumn id="4" xr3:uid="{A3B822CF-5D29-40BD-BAF3-F9992049C3E3}" name="Payment_Mode" dataDxfId="27"/>
    <tableColumn id="5" xr3:uid="{ACE679D0-FA9C-48D6-BC0D-7B8BB2BD4390}" name="Amount_Paid" dataDxfId="26"/>
    <tableColumn id="6" xr3:uid="{30E72D56-2A8B-4F95-BBDF-7B4F9539EE8F}" name="Payment_Status" dataDxfId="25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1C3E6A-7D7A-4673-B3FF-B4912A52A6E2}" name="tbl_Returns" displayName="tbl_Returns" ref="A1:F89" totalsRowShown="0" headerRowDxfId="24" dataDxfId="23">
  <autoFilter ref="A1:F89" xr:uid="{9D1C3E6A-7D7A-4673-B3FF-B4912A52A6E2}"/>
  <tableColumns count="6">
    <tableColumn id="1" xr3:uid="{75666CAB-F525-4D80-BD21-E239CA51BA80}" name="Return_ID" dataDxfId="22"/>
    <tableColumn id="2" xr3:uid="{3F8A00EF-3E3D-4129-B0AC-C9B5CDA59020}" name="Order_ID" dataDxfId="21"/>
    <tableColumn id="3" xr3:uid="{8AB449BC-CB1C-45E7-B231-77E442AA118E}" name="Return_Request_Date" dataDxfId="20"/>
    <tableColumn id="4" xr3:uid="{72DD175F-9D19-4174-94B1-E25B5924D72A}" name="Return_Reason" dataDxfId="19"/>
    <tableColumn id="5" xr3:uid="{025BEB4F-7A92-4C5F-90E6-332171067303}" name="Return_Status" dataDxfId="18"/>
    <tableColumn id="6" xr3:uid="{27BF43A4-44B4-4F73-B412-EFAD3F984CCA}" name="Warehouse_Received_Date" dataDxfId="17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2BD422-ACD4-47F6-B4F5-4D14E2297793}" name="tbl_Refunds" displayName="tbl_Refunds" ref="A1:G80" totalsRowShown="0" headerRowDxfId="16" dataDxfId="15">
  <autoFilter ref="A1:G80" xr:uid="{AB2BD422-ACD4-47F6-B4F5-4D14E2297793}"/>
  <tableColumns count="7">
    <tableColumn id="1" xr3:uid="{B8C8F041-FD14-41B7-BF1F-0D51D0B1663A}" name="Refund_ID" dataDxfId="14"/>
    <tableColumn id="2" xr3:uid="{20669B11-2D34-431D-B18B-E88A9EA0E0FF}" name="Return_ID" dataDxfId="13"/>
    <tableColumn id="3" xr3:uid="{F85EF674-7514-4CEB-AEC7-2BA4B9F91D7B}" name="Order_ID" dataDxfId="12"/>
    <tableColumn id="4" xr3:uid="{01474AAE-9CD4-41C3-94F6-9A3DA4229714}" name="Refund_Date" dataDxfId="11"/>
    <tableColumn id="5" xr3:uid="{A5CC1F0E-3F2B-43D6-9529-133A6D570DE0}" name="Refund_Amount" dataDxfId="10"/>
    <tableColumn id="6" xr3:uid="{48E3D34F-CAE5-4151-9C97-6F4FF03FF507}" name="Refund_Method" dataDxfId="9"/>
    <tableColumn id="7" xr3:uid="{7FC3E148-3A7F-487C-814A-DE5BDB5EDADD}" name="Approved_By" dataDxfId="8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5B6EF48-0460-4630-814C-5012BB82E3B5}" name="stg_Refunds" displayName="stg_Refunds" ref="A1:J80" totalsRowShown="0">
  <autoFilter ref="A1:J80" xr:uid="{C5B6EF48-0460-4630-814C-5012BB82E3B5}"/>
  <tableColumns count="10">
    <tableColumn id="1" xr3:uid="{EE19F523-358C-40A9-BA7A-624CD5CDA137}" name="Refund_ID" dataDxfId="7"/>
    <tableColumn id="2" xr3:uid="{75030E24-2DD9-4B42-B574-4E638745631C}" name="Return_ID" dataDxfId="6"/>
    <tableColumn id="3" xr3:uid="{A273A33E-9869-4C8D-9B9B-A81BA2B18718}" name="Order_ID" dataDxfId="5"/>
    <tableColumn id="4" xr3:uid="{6D7DC542-E867-4ECA-A75E-D74624346D33}" name="Refund_Date" dataDxfId="4"/>
    <tableColumn id="5" xr3:uid="{B66A112D-24F0-4CA8-9290-407FB28E3124}" name="Refund_Amount"/>
    <tableColumn id="6" xr3:uid="{6453862B-0920-44AC-9784-FB193CCFB03E}" name="Refund_Method" dataDxfId="3"/>
    <tableColumn id="7" xr3:uid="{DD613B5C-91E1-4A3F-9A48-8FC58777395D}" name="Approved_By" dataDxfId="2"/>
    <tableColumn id="8" xr3:uid="{C942EA16-8BD4-4BA1-89CF-C4F26A167F40}" name="Refund_Amount_Clean"/>
    <tableColumn id="9" xr3:uid="{F54F4663-41AF-4385-A11C-DDB1518B7886}" name="Amount_Flag" dataDxfId="1"/>
    <tableColumn id="10" xr3:uid="{D2765190-1498-4425-801E-4E11A220E2B4}" name="Column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C3CA4-F5CA-41B0-A54B-B715F4D8A68C}">
  <sheetPr>
    <pageSetUpPr fitToPage="1"/>
  </sheetPr>
  <dimension ref="B1:M7"/>
  <sheetViews>
    <sheetView showGridLines="0" tabSelected="1" zoomScale="63" zoomScaleNormal="71" workbookViewId="0">
      <selection activeCell="O40" sqref="O40"/>
    </sheetView>
  </sheetViews>
  <sheetFormatPr defaultRowHeight="15"/>
  <cols>
    <col min="1" max="1" width="2.7109375" customWidth="1"/>
    <col min="2" max="2" width="18.140625" customWidth="1"/>
    <col min="3" max="5" width="14.7109375" customWidth="1"/>
    <col min="6" max="6" width="20.7109375" customWidth="1"/>
    <col min="7" max="14" width="14.7109375" customWidth="1"/>
  </cols>
  <sheetData>
    <row r="1" spans="2:13" ht="26.25">
      <c r="B1" s="28" t="s">
        <v>1555</v>
      </c>
    </row>
    <row r="2" spans="2:13">
      <c r="B2" s="29" t="s">
        <v>1556</v>
      </c>
    </row>
    <row r="4" spans="2:13" ht="24" customHeight="1">
      <c r="B4" s="30" t="s">
        <v>1557</v>
      </c>
      <c r="C4" s="30"/>
      <c r="D4" s="31" t="s">
        <v>1502</v>
      </c>
      <c r="E4" s="31"/>
      <c r="F4" s="32" t="s">
        <v>1558</v>
      </c>
      <c r="G4" s="33"/>
      <c r="H4" s="34" t="s">
        <v>1496</v>
      </c>
      <c r="I4" s="34"/>
      <c r="J4" s="35" t="s">
        <v>1559</v>
      </c>
      <c r="K4" s="35"/>
      <c r="L4" s="36" t="s">
        <v>1560</v>
      </c>
      <c r="M4" s="36"/>
    </row>
    <row r="5" spans="2:13" ht="24" customHeight="1">
      <c r="B5" s="37">
        <f>ROWS(rec_Refunds[Refund_ID])</f>
        <v>79</v>
      </c>
      <c r="C5" s="30"/>
      <c r="D5" s="38">
        <f>SUM(rec_Refunds[Refund_Amount])</f>
        <v>208389</v>
      </c>
      <c r="E5" s="31"/>
      <c r="F5" s="39">
        <f>SUM(rec_Refunds[Is_Exception])</f>
        <v>23</v>
      </c>
      <c r="G5" s="33"/>
      <c r="H5" s="40">
        <f>F5/B5</f>
        <v>0.29113924050632911</v>
      </c>
      <c r="I5" s="34"/>
      <c r="J5" s="41">
        <f>SUM(rec_Refunds[Value_At_Risk])</f>
        <v>39978</v>
      </c>
      <c r="K5" s="35"/>
      <c r="L5" s="42">
        <f>J5/D5</f>
        <v>0.1918431395131221</v>
      </c>
      <c r="M5" s="36"/>
    </row>
    <row r="6" spans="2:13" ht="24" customHeight="1">
      <c r="B6" s="30" t="s">
        <v>1561</v>
      </c>
      <c r="C6" s="30"/>
      <c r="D6" s="31" t="s">
        <v>1562</v>
      </c>
      <c r="E6" s="31"/>
      <c r="F6" s="33" t="s">
        <v>1563</v>
      </c>
      <c r="G6" s="33"/>
      <c r="H6" s="34" t="s">
        <v>1564</v>
      </c>
      <c r="I6" s="34"/>
      <c r="J6" s="35" t="s">
        <v>1565</v>
      </c>
      <c r="K6" s="35"/>
      <c r="L6" s="36" t="s">
        <v>1566</v>
      </c>
      <c r="M6" s="36"/>
    </row>
    <row r="7" spans="2:13">
      <c r="B7" s="43" t="s">
        <v>1567</v>
      </c>
      <c r="C7" s="44"/>
      <c r="D7" s="43"/>
      <c r="E7" s="43"/>
    </row>
  </sheetData>
  <pageMargins left="0.70866141732283472" right="0.70866141732283472" top="0.74803149606299213" bottom="0.74803149606299213" header="0.31496062992125984" footer="0.31496062992125984"/>
  <pageSetup paperSize="9" scale="64" fitToHeight="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2D7BA-A43B-4F0A-A9C0-3CDF43EFF022}">
  <dimension ref="A3:H13"/>
  <sheetViews>
    <sheetView workbookViewId="0">
      <selection activeCell="F15" sqref="F15"/>
    </sheetView>
  </sheetViews>
  <sheetFormatPr defaultRowHeight="15"/>
  <cols>
    <col min="1" max="1" width="26.5703125" bestFit="1" customWidth="1"/>
    <col min="2" max="2" width="8.85546875" bestFit="1" customWidth="1"/>
    <col min="3" max="3" width="23.7109375" bestFit="1" customWidth="1"/>
    <col min="4" max="4" width="15" bestFit="1" customWidth="1"/>
  </cols>
  <sheetData>
    <row r="3" spans="1:8" ht="15.75">
      <c r="A3" s="11" t="s">
        <v>1436</v>
      </c>
      <c r="B3" s="11" t="s">
        <v>1438</v>
      </c>
      <c r="C3" s="11" t="s">
        <v>1439</v>
      </c>
      <c r="D3" s="11" t="s">
        <v>1437</v>
      </c>
    </row>
    <row r="4" spans="1:8">
      <c r="A4" s="4" t="s">
        <v>1440</v>
      </c>
      <c r="B4" s="4">
        <f>COUNTIF(rec_Refunds[Exception_Type],$A4)</f>
        <v>5</v>
      </c>
      <c r="C4" s="4">
        <f>SUMIFS(rec_Refunds[Refund_Amount],rec_Refunds[Exception_Type],$A4)</f>
        <v>14694</v>
      </c>
      <c r="D4" s="4">
        <f>SUMIFS(rec_Refunds[Value_At_Risk],rec_Refunds[Exception_Type],$A4)</f>
        <v>14694</v>
      </c>
    </row>
    <row r="5" spans="1:8">
      <c r="A5" s="4" t="s">
        <v>1441</v>
      </c>
      <c r="B5" s="4">
        <f>COUNTIF(rec_Refunds[Exception_Type],$A5)</f>
        <v>1</v>
      </c>
      <c r="C5" s="4">
        <f>SUMIFS(rec_Refunds[Refund_Amount],rec_Refunds[Exception_Type],$A5)</f>
        <v>1999</v>
      </c>
      <c r="D5" s="4">
        <f>SUMIFS(rec_Refunds[Value_At_Risk],rec_Refunds[Exception_Type],$A5)</f>
        <v>1999</v>
      </c>
    </row>
    <row r="6" spans="1:8">
      <c r="A6" s="4" t="s">
        <v>1442</v>
      </c>
      <c r="B6" s="4">
        <f>COUNTIF(rec_Refunds[Exception_Type],$A6)</f>
        <v>0</v>
      </c>
      <c r="C6" s="4">
        <f>SUMIFS(rec_Refunds[Refund_Amount],rec_Refunds[Exception_Type],$A6)</f>
        <v>0</v>
      </c>
      <c r="D6" s="4">
        <f>SUMIFS(rec_Refunds[Value_At_Risk],rec_Refunds[Exception_Type],$A6)</f>
        <v>0</v>
      </c>
    </row>
    <row r="7" spans="1:8">
      <c r="A7" s="4" t="s">
        <v>1443</v>
      </c>
      <c r="B7" s="4">
        <f>COUNTIF(rec_Refunds[Exception_Type],$A7)</f>
        <v>7</v>
      </c>
      <c r="C7" s="4">
        <f>SUMIFS(rec_Refunds[Refund_Amount],rec_Refunds[Exception_Type],$A7)</f>
        <v>15091</v>
      </c>
      <c r="D7" s="4">
        <f>SUMIFS(rec_Refunds[Value_At_Risk],rec_Refunds[Exception_Type],$A7)</f>
        <v>15091</v>
      </c>
    </row>
    <row r="8" spans="1:8">
      <c r="A8" s="4" t="s">
        <v>1444</v>
      </c>
      <c r="B8" s="4">
        <f>COUNTIF(rec_Refunds[Exception_Type],$A8)</f>
        <v>8</v>
      </c>
      <c r="C8" s="4">
        <f>SUMIFS(rec_Refunds[Refund_Amount],rec_Refunds[Exception_Type],$A8)</f>
        <v>24185</v>
      </c>
      <c r="D8" s="4">
        <f>SUMIFS(rec_Refunds[Value_At_Risk],rec_Refunds[Exception_Type],$A8)</f>
        <v>4596</v>
      </c>
    </row>
    <row r="9" spans="1:8">
      <c r="A9" s="4" t="s">
        <v>1445</v>
      </c>
      <c r="B9" s="4">
        <f>COUNTIF(rec_Refunds[Exception_Type],$A9)</f>
        <v>2</v>
      </c>
      <c r="C9" s="4">
        <f>SUMIFS(rec_Refunds[Refund_Amount],rec_Refunds[Exception_Type],$A9)</f>
        <v>3598</v>
      </c>
      <c r="D9" s="4">
        <f>SUMIFS(rec_Refunds[Value_At_Risk],rec_Refunds[Exception_Type],$A9)</f>
        <v>3598</v>
      </c>
    </row>
    <row r="10" spans="1:8">
      <c r="A10" s="4" t="s">
        <v>1446</v>
      </c>
      <c r="B10" s="4">
        <f>SUM(B4:B9)</f>
        <v>23</v>
      </c>
      <c r="C10" s="4">
        <f>SUM(C4:C9)</f>
        <v>59567</v>
      </c>
      <c r="D10" s="4">
        <f>SUM(D4:D9)</f>
        <v>39978</v>
      </c>
    </row>
    <row r="11" spans="1:8">
      <c r="A11" s="4" t="s">
        <v>1447</v>
      </c>
      <c r="B11" s="9">
        <f>COUNTIF(rec_Refunds[Exception_Type],$A11)</f>
        <v>56</v>
      </c>
      <c r="C11" s="4">
        <f>SUMIFS(rec_Refunds[Refund_Amount],rec_Refunds[Exception_Type],$A11)</f>
        <v>148822</v>
      </c>
      <c r="D11" s="9">
        <f>SUMIFS(rec_Refunds[Value_At_Risk],rec_Refunds[Exception_Type],$A11)</f>
        <v>0</v>
      </c>
    </row>
    <row r="12" spans="1:8">
      <c r="A12" s="4" t="s">
        <v>1448</v>
      </c>
      <c r="B12" s="4">
        <f>B10+B11</f>
        <v>79</v>
      </c>
      <c r="C12" s="4">
        <f>C10+C11</f>
        <v>208389</v>
      </c>
      <c r="D12" s="10"/>
      <c r="E12" s="7"/>
      <c r="F12" s="8"/>
      <c r="G12" s="8"/>
      <c r="H12" s="7"/>
    </row>
    <row r="13" spans="1:8">
      <c r="A13" s="10" t="s">
        <v>1449</v>
      </c>
      <c r="B13" s="4">
        <f>B12-ROWS(rec_Refunds[Refund_ID])</f>
        <v>0</v>
      </c>
      <c r="C13" s="4">
        <f>C12-SUM(rec_Refunds[Refund_Amount])</f>
        <v>0</v>
      </c>
      <c r="D13" s="10"/>
      <c r="E13" s="7"/>
      <c r="F13" s="8"/>
      <c r="G13" s="8"/>
      <c r="H1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8992-2978-4396-8F23-B47E2F2D0129}">
  <dimension ref="A1:G30"/>
  <sheetViews>
    <sheetView zoomScale="81" zoomScaleNormal="80" workbookViewId="0">
      <selection activeCell="H22" sqref="H22"/>
    </sheetView>
  </sheetViews>
  <sheetFormatPr defaultRowHeight="15"/>
  <cols>
    <col min="1" max="1" width="43.7109375" bestFit="1" customWidth="1"/>
    <col min="2" max="2" width="12.7109375" bestFit="1" customWidth="1"/>
    <col min="3" max="3" width="25.140625" bestFit="1" customWidth="1"/>
    <col min="4" max="4" width="25.5703125" bestFit="1" customWidth="1"/>
    <col min="5" max="5" width="22.42578125" bestFit="1" customWidth="1"/>
    <col min="6" max="6" width="13.7109375" bestFit="1" customWidth="1"/>
    <col min="7" max="7" width="9.28515625" bestFit="1" customWidth="1"/>
  </cols>
  <sheetData>
    <row r="1" spans="1:7" ht="15.75">
      <c r="A1" s="18" t="s">
        <v>1450</v>
      </c>
      <c r="B1" s="12"/>
      <c r="C1" s="12"/>
      <c r="D1" s="12"/>
      <c r="E1" s="12"/>
      <c r="F1" s="12"/>
      <c r="G1" s="12"/>
    </row>
    <row r="2" spans="1:7">
      <c r="A2" s="12"/>
      <c r="B2" s="12"/>
      <c r="C2" s="12"/>
      <c r="D2" s="12"/>
      <c r="E2" s="12"/>
      <c r="F2" s="12"/>
      <c r="G2" s="12"/>
    </row>
    <row r="3" spans="1:7">
      <c r="A3" s="17" t="s">
        <v>1451</v>
      </c>
      <c r="B3" s="17" t="s">
        <v>1452</v>
      </c>
      <c r="C3" s="17" t="s">
        <v>1453</v>
      </c>
      <c r="D3" s="17" t="s">
        <v>1454</v>
      </c>
      <c r="E3" s="17" t="s">
        <v>1455</v>
      </c>
      <c r="F3" s="17" t="s">
        <v>1456</v>
      </c>
      <c r="G3" s="17" t="s">
        <v>1457</v>
      </c>
    </row>
    <row r="4" spans="1:7">
      <c r="A4" s="16" t="s">
        <v>1458</v>
      </c>
      <c r="B4" s="5">
        <f>ROWS(tbl_Orders[Order_ID])</f>
        <v>410</v>
      </c>
      <c r="C4" s="5" cm="1">
        <f t="array" ref="C4">B4-SUMPRODUCT(1/COUNTIF(tbl_Orders[Order_ID],tbl_Orders[Order_ID]))</f>
        <v>10</v>
      </c>
      <c r="D4" s="5">
        <f>B4-C4</f>
        <v>400</v>
      </c>
      <c r="E4" s="5">
        <f>ROWS(clean_Orders[Order_ID])</f>
        <v>400</v>
      </c>
      <c r="F4" s="5">
        <f>E4-D4</f>
        <v>0</v>
      </c>
      <c r="G4" s="5" t="str">
        <f>IF(F4=0,"PASS","FAIL")</f>
        <v>PASS</v>
      </c>
    </row>
    <row r="5" spans="1:7">
      <c r="A5" s="16" t="s">
        <v>1459</v>
      </c>
      <c r="B5" s="5">
        <f>ROWS(tbl_Payments[Payment_ID])</f>
        <v>378</v>
      </c>
      <c r="C5" s="5" cm="1">
        <f t="array" ref="C5">B5-SUMPRODUCT(1/COUNTIF(tbl_Payments[Payment_ID],tbl_Payments[Payment_ID]))</f>
        <v>4</v>
      </c>
      <c r="D5" s="5">
        <f t="shared" ref="D5:D7" si="0">B5-C5</f>
        <v>374</v>
      </c>
      <c r="E5" s="5">
        <f>ROWS(clean_Payments[Payment_ID])</f>
        <v>374</v>
      </c>
      <c r="F5" s="5">
        <f t="shared" ref="F5:F7" si="1">E5-D5</f>
        <v>0</v>
      </c>
      <c r="G5" s="5" t="str">
        <f t="shared" ref="G5:G7" si="2">IF(F5=0,"PASS","FAIL")</f>
        <v>PASS</v>
      </c>
    </row>
    <row r="6" spans="1:7">
      <c r="A6" s="16" t="s">
        <v>1460</v>
      </c>
      <c r="B6" s="5">
        <f>ROWS(tbl_Returns[Return_ID])</f>
        <v>88</v>
      </c>
      <c r="C6" s="5" cm="1">
        <f t="array" ref="C6">B6-SUMPRODUCT(1/COUNTIF(tbl_Returns[Return_ID],tbl_Returns[Return_ID]))</f>
        <v>2</v>
      </c>
      <c r="D6" s="5">
        <f t="shared" si="0"/>
        <v>86</v>
      </c>
      <c r="E6" s="5">
        <f>ROWS(clean_Returns[Return_ID])</f>
        <v>86</v>
      </c>
      <c r="F6" s="5">
        <f t="shared" si="1"/>
        <v>0</v>
      </c>
      <c r="G6" s="5" t="str">
        <f t="shared" si="2"/>
        <v>PASS</v>
      </c>
    </row>
    <row r="7" spans="1:7">
      <c r="A7" s="16" t="s">
        <v>1438</v>
      </c>
      <c r="B7" s="5">
        <f>ROWS(tbl_Refunds[Refund_ID])</f>
        <v>79</v>
      </c>
      <c r="C7" s="5" cm="1">
        <f t="array" ref="C7">B7-SUMPRODUCT(1/COUNTIF(tbl_Refunds[Refund_ID],tbl_Refunds[Refund_ID]))</f>
        <v>0</v>
      </c>
      <c r="D7" s="5">
        <f t="shared" si="0"/>
        <v>79</v>
      </c>
      <c r="E7" s="5">
        <f>ROWS(clean_Refunds[Refund_ID])</f>
        <v>79</v>
      </c>
      <c r="F7" s="5">
        <f t="shared" si="1"/>
        <v>0</v>
      </c>
      <c r="G7" s="5" t="str">
        <f t="shared" si="2"/>
        <v>PASS</v>
      </c>
    </row>
    <row r="8" spans="1:7">
      <c r="A8" s="12"/>
      <c r="B8" s="12"/>
      <c r="C8" s="12"/>
      <c r="D8" s="12"/>
      <c r="E8" s="12"/>
      <c r="F8" s="12"/>
      <c r="G8" s="12"/>
    </row>
    <row r="9" spans="1:7" ht="15.75">
      <c r="A9" s="21" t="s">
        <v>1461</v>
      </c>
      <c r="B9" s="12"/>
      <c r="C9" s="12"/>
      <c r="D9" s="12"/>
      <c r="E9" s="12"/>
      <c r="F9" s="12"/>
      <c r="G9" s="12"/>
    </row>
    <row r="10" spans="1:7">
      <c r="A10" s="19" t="s">
        <v>1489</v>
      </c>
      <c r="B10" s="19" t="s">
        <v>1490</v>
      </c>
      <c r="C10" s="12"/>
      <c r="D10" s="12"/>
      <c r="E10" s="12"/>
      <c r="F10" s="12"/>
      <c r="G10" s="12"/>
    </row>
    <row r="11" spans="1:7">
      <c r="A11" s="20" t="s">
        <v>1462</v>
      </c>
      <c r="B11" s="47">
        <f>SUM(clean_Refunds[Refund_Amount])</f>
        <v>208389</v>
      </c>
      <c r="C11" s="12"/>
      <c r="D11" s="12"/>
      <c r="E11" s="12"/>
      <c r="F11" s="12"/>
      <c r="G11" s="12"/>
    </row>
    <row r="12" spans="1:7">
      <c r="A12" s="20" t="s">
        <v>1463</v>
      </c>
      <c r="B12" s="47">
        <f>Leakage_Summary!C11</f>
        <v>148822</v>
      </c>
      <c r="C12" s="12"/>
      <c r="D12" s="12"/>
      <c r="E12" s="12"/>
      <c r="F12" s="12"/>
      <c r="G12" s="12"/>
    </row>
    <row r="13" spans="1:7">
      <c r="A13" s="20" t="s">
        <v>1464</v>
      </c>
      <c r="B13" s="47">
        <f>Leakage_Summary!C10</f>
        <v>59567</v>
      </c>
      <c r="C13" s="12"/>
      <c r="D13" s="12"/>
      <c r="E13" s="12"/>
      <c r="F13" s="12"/>
      <c r="G13" s="12"/>
    </row>
    <row r="14" spans="1:7">
      <c r="A14" s="20" t="s">
        <v>1465</v>
      </c>
      <c r="B14" s="47">
        <f>B11-B12-B13</f>
        <v>0</v>
      </c>
      <c r="C14" s="5" t="str">
        <f>IF(B14=0,"PASS","FAIL")</f>
        <v>PASS</v>
      </c>
      <c r="D14" s="12"/>
      <c r="E14" s="12"/>
      <c r="F14" s="12"/>
      <c r="G14" s="12"/>
    </row>
    <row r="15" spans="1:7">
      <c r="A15" s="20" t="s">
        <v>1466</v>
      </c>
      <c r="B15" s="47">
        <f>SUM(rec_Refunds[Refund_Amount])</f>
        <v>208389</v>
      </c>
      <c r="C15" s="12"/>
      <c r="D15" s="12"/>
      <c r="E15" s="12"/>
      <c r="F15" s="12"/>
      <c r="G15" s="12"/>
    </row>
    <row r="16" spans="1:7">
      <c r="A16" s="20" t="s">
        <v>1467</v>
      </c>
      <c r="B16" s="47">
        <f>B15-B11</f>
        <v>0</v>
      </c>
      <c r="C16" s="14" t="str">
        <f>IF(B16=0,"PASS","FAIL")</f>
        <v>PASS</v>
      </c>
      <c r="D16" s="12"/>
      <c r="E16" s="12"/>
      <c r="F16" s="12"/>
      <c r="G16" s="12"/>
    </row>
    <row r="17" spans="1:7">
      <c r="A17" s="12"/>
      <c r="B17" s="12"/>
      <c r="C17" s="12"/>
      <c r="D17" s="12"/>
      <c r="E17" s="12"/>
      <c r="F17" s="12"/>
      <c r="G17" s="12"/>
    </row>
    <row r="18" spans="1:7">
      <c r="A18" s="12"/>
      <c r="B18" s="12"/>
      <c r="C18" s="12"/>
      <c r="D18" s="12"/>
      <c r="E18" s="12"/>
      <c r="F18" s="12"/>
      <c r="G18" s="12"/>
    </row>
    <row r="19" spans="1:7">
      <c r="A19" s="22" t="s">
        <v>1468</v>
      </c>
      <c r="B19" s="22" t="s">
        <v>1469</v>
      </c>
      <c r="C19" s="22" t="s">
        <v>1470</v>
      </c>
      <c r="D19" s="12"/>
      <c r="E19" s="12"/>
      <c r="F19" s="12"/>
      <c r="G19" s="12"/>
    </row>
    <row r="20" spans="1:7">
      <c r="A20" s="10" t="s">
        <v>1471</v>
      </c>
      <c r="B20" s="9">
        <f>C4</f>
        <v>10</v>
      </c>
      <c r="C20" s="10" t="s">
        <v>1472</v>
      </c>
      <c r="D20" s="12"/>
      <c r="E20" s="12"/>
      <c r="F20" s="12"/>
      <c r="G20" s="12"/>
    </row>
    <row r="21" spans="1:7">
      <c r="A21" s="10" t="s">
        <v>1473</v>
      </c>
      <c r="B21" s="9">
        <f>C5</f>
        <v>4</v>
      </c>
      <c r="C21" s="10" t="s">
        <v>1472</v>
      </c>
      <c r="D21" s="12"/>
      <c r="E21" s="12"/>
      <c r="F21" s="12"/>
      <c r="G21" s="12"/>
    </row>
    <row r="22" spans="1:7">
      <c r="A22" s="10" t="s">
        <v>1474</v>
      </c>
      <c r="B22" s="9">
        <f>C6</f>
        <v>2</v>
      </c>
      <c r="C22" s="10" t="s">
        <v>1472</v>
      </c>
      <c r="D22" s="12"/>
      <c r="E22" s="12"/>
      <c r="F22" s="12"/>
      <c r="G22" s="12"/>
    </row>
    <row r="23" spans="1:7" ht="30">
      <c r="A23" s="10" t="s">
        <v>1475</v>
      </c>
      <c r="B23" s="9">
        <f>COUNTIF(clean_Orders[Amount_Flag],"&lt;&gt;OK")</f>
        <v>8</v>
      </c>
      <c r="C23" s="10" t="s">
        <v>1476</v>
      </c>
      <c r="D23" s="12"/>
      <c r="E23" s="12"/>
      <c r="F23" s="12"/>
      <c r="G23" s="12"/>
    </row>
    <row r="24" spans="1:7">
      <c r="A24" s="10" t="s">
        <v>1477</v>
      </c>
      <c r="B24" s="9">
        <f>COUNTIF(clean_Orders[City],"Unknown")</f>
        <v>9</v>
      </c>
      <c r="C24" s="10" t="s">
        <v>1478</v>
      </c>
      <c r="D24" s="12"/>
      <c r="E24" s="12"/>
      <c r="F24" s="12"/>
      <c r="G24" s="12"/>
    </row>
    <row r="25" spans="1:7">
      <c r="A25" s="10" t="s">
        <v>1479</v>
      </c>
      <c r="B25" s="9">
        <f>COUNTIF(clean_Orders[Customer_ID],"Unknown")</f>
        <v>6</v>
      </c>
      <c r="C25" s="10" t="s">
        <v>1478</v>
      </c>
      <c r="D25" s="12"/>
      <c r="E25" s="12"/>
      <c r="F25" s="12"/>
      <c r="G25" s="12"/>
    </row>
    <row r="26" spans="1:7" ht="30">
      <c r="A26" s="10" t="s">
        <v>1480</v>
      </c>
      <c r="B26" s="9">
        <f>COUNTIF(clean_Refunds[Amount_Flag],"&lt;&gt;OK")</f>
        <v>5</v>
      </c>
      <c r="C26" s="10" t="s">
        <v>1481</v>
      </c>
      <c r="D26" s="12"/>
      <c r="E26" s="12"/>
      <c r="F26" s="12"/>
      <c r="G26" s="12"/>
    </row>
    <row r="27" spans="1:7">
      <c r="A27" s="10" t="s">
        <v>1482</v>
      </c>
      <c r="B27" s="9" cm="1">
        <f t="array" ref="B27">SUMPRODUCT(--(COUNTIF(clean_Orders[Order_ID],clean_Payments[Order_ID])=0))</f>
        <v>2</v>
      </c>
      <c r="C27" s="15" t="s">
        <v>1483</v>
      </c>
      <c r="D27" s="12"/>
      <c r="E27" s="12"/>
      <c r="F27" s="12"/>
      <c r="G27" s="12"/>
    </row>
    <row r="28" spans="1:7">
      <c r="A28" s="10" t="s">
        <v>1484</v>
      </c>
      <c r="B28" s="9" cm="1">
        <f t="array" ref="B28">SUMPRODUCT(--(COUNTIF(clean_Orders[Order_ID],clean_Returns[Order_ID])=0))</f>
        <v>1</v>
      </c>
      <c r="C28" s="15" t="s">
        <v>1483</v>
      </c>
      <c r="D28" s="12"/>
      <c r="E28" s="12"/>
      <c r="F28" s="12"/>
      <c r="G28" s="12"/>
    </row>
    <row r="29" spans="1:7">
      <c r="A29" s="10" t="s">
        <v>1485</v>
      </c>
      <c r="B29" s="9">
        <f>COUNTIF(rec_Refunds[R1_Has_Return],"FAIL")</f>
        <v>5</v>
      </c>
      <c r="C29" s="15" t="s">
        <v>1486</v>
      </c>
      <c r="D29" s="12"/>
      <c r="E29" s="12"/>
      <c r="F29" s="12"/>
      <c r="G29" s="12"/>
    </row>
    <row r="30" spans="1:7">
      <c r="A30" s="10" t="s">
        <v>1487</v>
      </c>
      <c r="B30" s="9">
        <f>COUNTIF(rec_Refunds[DQ_Date_Logic],"CHECK")</f>
        <v>3</v>
      </c>
      <c r="C30" s="15" t="s">
        <v>1488</v>
      </c>
      <c r="D30" s="12"/>
      <c r="E30" s="12"/>
      <c r="F30" s="12"/>
      <c r="G30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FA6A-AEDD-4E35-B99D-97CC4CC6A8F6}">
  <dimension ref="A3:N110"/>
  <sheetViews>
    <sheetView zoomScale="81" workbookViewId="0">
      <selection activeCell="K30" sqref="K30"/>
    </sheetView>
  </sheetViews>
  <sheetFormatPr defaultRowHeight="15"/>
  <cols>
    <col min="1" max="1" width="19.28515625" bestFit="1" customWidth="1"/>
    <col min="2" max="2" width="12" bestFit="1" customWidth="1"/>
    <col min="3" max="3" width="19.28515625" bestFit="1" customWidth="1"/>
    <col min="4" max="4" width="15.28515625" bestFit="1" customWidth="1"/>
    <col min="5" max="5" width="20.5703125" bestFit="1" customWidth="1"/>
    <col min="6" max="6" width="18.140625" bestFit="1" customWidth="1"/>
    <col min="11" max="11" width="18.5703125" bestFit="1" customWidth="1"/>
    <col min="12" max="12" width="20.5703125" bestFit="1" customWidth="1"/>
    <col min="13" max="13" width="22.5703125" bestFit="1" customWidth="1"/>
    <col min="14" max="14" width="19.28515625" bestFit="1" customWidth="1"/>
    <col min="15" max="15" width="12.7109375" bestFit="1" customWidth="1"/>
    <col min="16" max="16" width="18.140625" bestFit="1" customWidth="1"/>
    <col min="17" max="17" width="15.28515625" bestFit="1" customWidth="1"/>
    <col min="18" max="18" width="20.5703125" bestFit="1" customWidth="1"/>
    <col min="19" max="19" width="18.5703125" bestFit="1" customWidth="1"/>
  </cols>
  <sheetData>
    <row r="3" spans="1:14">
      <c r="A3" s="23" t="s">
        <v>1493</v>
      </c>
      <c r="B3" t="s">
        <v>1438</v>
      </c>
      <c r="C3" t="s">
        <v>1497</v>
      </c>
      <c r="D3" t="s">
        <v>1495</v>
      </c>
      <c r="E3" t="s">
        <v>1496</v>
      </c>
      <c r="F3" t="s">
        <v>1498</v>
      </c>
      <c r="I3" s="23" t="s">
        <v>1493</v>
      </c>
      <c r="J3" t="s">
        <v>1501</v>
      </c>
      <c r="K3" t="s">
        <v>1498</v>
      </c>
      <c r="L3" t="s">
        <v>1495</v>
      </c>
      <c r="M3" t="s">
        <v>1496</v>
      </c>
      <c r="N3" t="s">
        <v>1502</v>
      </c>
    </row>
    <row r="4" spans="1:14">
      <c r="A4" s="24" t="s">
        <v>217</v>
      </c>
      <c r="B4">
        <v>9</v>
      </c>
      <c r="C4" s="26">
        <v>28385</v>
      </c>
      <c r="D4">
        <v>5</v>
      </c>
      <c r="E4" s="25">
        <v>0.55555555555555558</v>
      </c>
      <c r="F4" s="26">
        <v>13594</v>
      </c>
      <c r="I4" s="24" t="s">
        <v>47</v>
      </c>
      <c r="J4" s="27">
        <v>20</v>
      </c>
      <c r="K4" s="26">
        <v>16093</v>
      </c>
      <c r="L4" s="27">
        <v>7</v>
      </c>
      <c r="M4" s="25">
        <v>0.35</v>
      </c>
      <c r="N4" s="26">
        <v>58872</v>
      </c>
    </row>
    <row r="5" spans="1:14">
      <c r="A5" s="24" t="s">
        <v>104</v>
      </c>
      <c r="B5">
        <v>9</v>
      </c>
      <c r="C5" s="26">
        <v>42485</v>
      </c>
      <c r="D5">
        <v>1</v>
      </c>
      <c r="E5" s="25">
        <v>0.1111111111111111</v>
      </c>
      <c r="F5" s="26">
        <v>6998</v>
      </c>
      <c r="I5" s="24" t="s">
        <v>22</v>
      </c>
      <c r="J5" s="27">
        <v>18</v>
      </c>
      <c r="K5" s="26">
        <v>10195</v>
      </c>
      <c r="L5" s="27">
        <v>4</v>
      </c>
      <c r="M5" s="25">
        <v>0.22222222222222221</v>
      </c>
      <c r="N5" s="26">
        <v>43376</v>
      </c>
    </row>
    <row r="6" spans="1:14">
      <c r="A6" s="24" t="s">
        <v>14</v>
      </c>
      <c r="B6">
        <v>14</v>
      </c>
      <c r="C6" s="26">
        <v>26985</v>
      </c>
      <c r="D6">
        <v>4</v>
      </c>
      <c r="E6" s="25">
        <v>0.2857142857142857</v>
      </c>
      <c r="F6" s="26">
        <v>6596</v>
      </c>
      <c r="I6" s="24" t="s">
        <v>15</v>
      </c>
      <c r="J6" s="27">
        <v>13</v>
      </c>
      <c r="K6" s="26">
        <v>8995</v>
      </c>
      <c r="L6" s="27">
        <v>7</v>
      </c>
      <c r="M6" s="25">
        <v>0.53846153846153844</v>
      </c>
      <c r="N6" s="26">
        <v>28083</v>
      </c>
    </row>
    <row r="7" spans="1:14">
      <c r="A7" s="24" t="s">
        <v>21</v>
      </c>
      <c r="B7">
        <v>15</v>
      </c>
      <c r="C7" s="26">
        <v>32382</v>
      </c>
      <c r="D7">
        <v>4</v>
      </c>
      <c r="E7" s="25">
        <v>0.26666666666666666</v>
      </c>
      <c r="F7" s="26">
        <v>5296</v>
      </c>
      <c r="I7" s="24" t="s">
        <v>36</v>
      </c>
      <c r="J7" s="27">
        <v>18</v>
      </c>
      <c r="K7" s="26">
        <v>4695</v>
      </c>
      <c r="L7" s="27">
        <v>5</v>
      </c>
      <c r="M7" s="25">
        <v>0.27777777777777779</v>
      </c>
      <c r="N7" s="26">
        <v>39072</v>
      </c>
    </row>
    <row r="8" spans="1:14">
      <c r="A8" s="24" t="s">
        <v>30</v>
      </c>
      <c r="B8">
        <v>14</v>
      </c>
      <c r="C8" s="26">
        <v>34681</v>
      </c>
      <c r="D8">
        <v>3</v>
      </c>
      <c r="E8" s="25">
        <v>0.21428571428571427</v>
      </c>
      <c r="F8" s="26">
        <v>2299</v>
      </c>
      <c r="I8" s="24" t="s">
        <v>25</v>
      </c>
      <c r="J8" s="27">
        <v>10</v>
      </c>
      <c r="K8" s="26">
        <v>0</v>
      </c>
      <c r="L8" s="27">
        <v>0</v>
      </c>
      <c r="M8" s="25">
        <v>0</v>
      </c>
      <c r="N8" s="26">
        <v>38986</v>
      </c>
    </row>
    <row r="9" spans="1:14">
      <c r="A9" s="24" t="s">
        <v>64</v>
      </c>
      <c r="B9">
        <v>9</v>
      </c>
      <c r="C9" s="26">
        <v>27483</v>
      </c>
      <c r="D9">
        <v>3</v>
      </c>
      <c r="E9" s="25">
        <v>0.33333333333333331</v>
      </c>
      <c r="F9" s="26">
        <v>2098</v>
      </c>
      <c r="I9" s="24" t="s">
        <v>1494</v>
      </c>
      <c r="J9" s="27">
        <v>79</v>
      </c>
      <c r="K9" s="26">
        <v>39978</v>
      </c>
      <c r="L9" s="27">
        <v>23</v>
      </c>
      <c r="M9" s="25">
        <v>0.29113924050632911</v>
      </c>
      <c r="N9" s="26">
        <v>208389</v>
      </c>
    </row>
    <row r="10" spans="1:14">
      <c r="A10" s="24" t="s">
        <v>73</v>
      </c>
      <c r="B10">
        <v>5</v>
      </c>
      <c r="C10" s="26">
        <v>9193</v>
      </c>
      <c r="D10">
        <v>2</v>
      </c>
      <c r="E10" s="25">
        <v>0.4</v>
      </c>
      <c r="F10" s="26">
        <v>1598</v>
      </c>
    </row>
    <row r="11" spans="1:14">
      <c r="A11" s="24" t="s">
        <v>89</v>
      </c>
      <c r="B11">
        <v>3</v>
      </c>
      <c r="C11" s="26">
        <v>5197</v>
      </c>
      <c r="D11">
        <v>1</v>
      </c>
      <c r="E11" s="25">
        <v>0.33333333333333331</v>
      </c>
      <c r="F11" s="26">
        <v>1499</v>
      </c>
    </row>
    <row r="12" spans="1:14">
      <c r="A12" s="24" t="s">
        <v>1417</v>
      </c>
      <c r="B12">
        <v>1</v>
      </c>
      <c r="C12" s="26">
        <v>1598</v>
      </c>
      <c r="D12">
        <v>0</v>
      </c>
      <c r="E12" s="25">
        <v>0</v>
      </c>
      <c r="F12" s="26">
        <v>0</v>
      </c>
    </row>
    <row r="13" spans="1:14">
      <c r="A13" s="24" t="s">
        <v>1494</v>
      </c>
      <c r="B13">
        <v>79</v>
      </c>
      <c r="C13" s="26">
        <v>208389</v>
      </c>
      <c r="D13">
        <v>23</v>
      </c>
      <c r="E13" s="25">
        <v>0.29113924050632911</v>
      </c>
      <c r="F13" s="26">
        <v>39978</v>
      </c>
    </row>
    <row r="18" spans="1:14">
      <c r="A18" s="23" t="s">
        <v>1493</v>
      </c>
      <c r="B18" t="s">
        <v>1438</v>
      </c>
      <c r="C18" t="s">
        <v>1497</v>
      </c>
      <c r="D18" t="s">
        <v>1495</v>
      </c>
      <c r="E18" t="s">
        <v>1496</v>
      </c>
      <c r="F18" t="s">
        <v>1498</v>
      </c>
      <c r="I18" s="23" t="s">
        <v>1493</v>
      </c>
      <c r="J18" t="s">
        <v>1438</v>
      </c>
      <c r="K18" t="s">
        <v>1497</v>
      </c>
      <c r="L18" t="s">
        <v>1495</v>
      </c>
      <c r="M18" t="s">
        <v>1496</v>
      </c>
      <c r="N18" t="s">
        <v>1498</v>
      </c>
    </row>
    <row r="19" spans="1:14">
      <c r="A19" s="24" t="s">
        <v>1320</v>
      </c>
      <c r="B19">
        <v>16</v>
      </c>
      <c r="C19" s="26">
        <v>48075</v>
      </c>
      <c r="D19">
        <v>6</v>
      </c>
      <c r="E19" s="25">
        <v>0.375</v>
      </c>
      <c r="F19" s="26">
        <v>12995</v>
      </c>
      <c r="I19" s="24" t="s">
        <v>1413</v>
      </c>
      <c r="J19">
        <v>1</v>
      </c>
      <c r="K19" s="26">
        <v>3198</v>
      </c>
      <c r="L19">
        <v>0</v>
      </c>
      <c r="M19" s="25">
        <v>0</v>
      </c>
      <c r="N19" s="26">
        <v>0</v>
      </c>
    </row>
    <row r="20" spans="1:14">
      <c r="A20" s="24" t="s">
        <v>1312</v>
      </c>
      <c r="B20">
        <v>25</v>
      </c>
      <c r="C20" s="26">
        <v>49969</v>
      </c>
      <c r="D20">
        <v>8</v>
      </c>
      <c r="E20" s="25">
        <v>0.32</v>
      </c>
      <c r="F20" s="26">
        <v>11891</v>
      </c>
      <c r="I20" s="24" t="s">
        <v>1410</v>
      </c>
      <c r="J20">
        <v>13</v>
      </c>
      <c r="K20" s="26">
        <v>50479</v>
      </c>
      <c r="L20">
        <v>2</v>
      </c>
      <c r="M20" s="25">
        <v>0.15384615384615385</v>
      </c>
      <c r="N20" s="26">
        <v>8997</v>
      </c>
    </row>
    <row r="21" spans="1:14">
      <c r="A21" s="24" t="s">
        <v>1323</v>
      </c>
      <c r="B21">
        <v>21</v>
      </c>
      <c r="C21" s="26">
        <v>68766</v>
      </c>
      <c r="D21">
        <v>6</v>
      </c>
      <c r="E21" s="25">
        <v>0.2857142857142857</v>
      </c>
      <c r="F21" s="26">
        <v>11694</v>
      </c>
      <c r="I21" s="24" t="s">
        <v>1412</v>
      </c>
      <c r="J21">
        <v>15</v>
      </c>
      <c r="K21" s="26">
        <v>40779</v>
      </c>
      <c r="L21">
        <v>4</v>
      </c>
      <c r="M21" s="25">
        <v>0.26666666666666666</v>
      </c>
      <c r="N21" s="26">
        <v>3697</v>
      </c>
    </row>
    <row r="22" spans="1:14">
      <c r="A22" s="24" t="s">
        <v>1318</v>
      </c>
      <c r="B22">
        <v>14</v>
      </c>
      <c r="C22" s="26">
        <v>29285</v>
      </c>
      <c r="D22">
        <v>3</v>
      </c>
      <c r="E22" s="25">
        <v>0.21428571428571427</v>
      </c>
      <c r="F22" s="26">
        <v>3398</v>
      </c>
      <c r="I22" s="24" t="s">
        <v>1411</v>
      </c>
      <c r="J22">
        <v>5</v>
      </c>
      <c r="K22" s="26">
        <v>11395</v>
      </c>
      <c r="L22">
        <v>2</v>
      </c>
      <c r="M22" s="25">
        <v>0.4</v>
      </c>
      <c r="N22" s="26">
        <v>3799</v>
      </c>
    </row>
    <row r="23" spans="1:14">
      <c r="A23" s="24" t="s">
        <v>1417</v>
      </c>
      <c r="B23">
        <v>3</v>
      </c>
      <c r="C23" s="26">
        <v>12294</v>
      </c>
      <c r="D23">
        <v>0</v>
      </c>
      <c r="E23" s="25">
        <v>0</v>
      </c>
      <c r="F23" s="26">
        <v>0</v>
      </c>
      <c r="I23" s="24" t="s">
        <v>1415</v>
      </c>
      <c r="J23">
        <v>13</v>
      </c>
      <c r="K23" s="26">
        <v>25083</v>
      </c>
      <c r="L23">
        <v>3</v>
      </c>
      <c r="M23" s="25">
        <v>0.23076923076923078</v>
      </c>
      <c r="N23" s="26">
        <v>2397</v>
      </c>
    </row>
    <row r="24" spans="1:14">
      <c r="A24" s="24" t="s">
        <v>1494</v>
      </c>
      <c r="B24">
        <v>79</v>
      </c>
      <c r="C24" s="26">
        <v>208389</v>
      </c>
      <c r="D24">
        <v>23</v>
      </c>
      <c r="E24" s="25">
        <v>0.29113924050632911</v>
      </c>
      <c r="F24" s="26">
        <v>39978</v>
      </c>
      <c r="I24" s="24" t="s">
        <v>1414</v>
      </c>
      <c r="J24">
        <v>16</v>
      </c>
      <c r="K24" s="26">
        <v>35477</v>
      </c>
      <c r="L24">
        <v>6</v>
      </c>
      <c r="M24" s="25">
        <v>0.375</v>
      </c>
      <c r="N24" s="26">
        <v>8095</v>
      </c>
    </row>
    <row r="25" spans="1:14">
      <c r="I25" s="24" t="s">
        <v>1503</v>
      </c>
      <c r="J25">
        <v>16</v>
      </c>
      <c r="K25" s="26">
        <v>41978</v>
      </c>
      <c r="L25">
        <v>6</v>
      </c>
      <c r="M25" s="25">
        <v>0.375</v>
      </c>
      <c r="N25" s="26">
        <v>12993</v>
      </c>
    </row>
    <row r="26" spans="1:14">
      <c r="I26" s="24" t="s">
        <v>1494</v>
      </c>
      <c r="J26">
        <v>79</v>
      </c>
      <c r="K26" s="26">
        <v>208389</v>
      </c>
      <c r="L26">
        <v>23</v>
      </c>
      <c r="M26" s="25">
        <v>0.29113924050632911</v>
      </c>
      <c r="N26" s="26">
        <v>39978</v>
      </c>
    </row>
    <row r="33" spans="1:6">
      <c r="A33" s="23" t="s">
        <v>1491</v>
      </c>
      <c r="B33" s="24">
        <v>1</v>
      </c>
    </row>
    <row r="35" spans="1:6">
      <c r="A35" s="23" t="s">
        <v>1436</v>
      </c>
      <c r="B35" s="23" t="s">
        <v>1305</v>
      </c>
      <c r="C35" s="23" t="s">
        <v>0</v>
      </c>
      <c r="D35" s="23" t="s">
        <v>1309</v>
      </c>
      <c r="E35" t="s">
        <v>1499</v>
      </c>
      <c r="F35" t="s">
        <v>1500</v>
      </c>
    </row>
    <row r="36" spans="1:6">
      <c r="A36" t="s">
        <v>1440</v>
      </c>
      <c r="B36" t="s">
        <v>1400</v>
      </c>
      <c r="C36" t="s">
        <v>53</v>
      </c>
      <c r="D36" t="s">
        <v>1320</v>
      </c>
      <c r="E36">
        <v>3499</v>
      </c>
      <c r="F36">
        <v>3499</v>
      </c>
    </row>
    <row r="37" spans="1:6">
      <c r="A37" t="s">
        <v>1440</v>
      </c>
      <c r="B37" t="s">
        <v>1400</v>
      </c>
      <c r="C37" t="s">
        <v>1504</v>
      </c>
      <c r="E37">
        <v>3499</v>
      </c>
      <c r="F37">
        <v>3499</v>
      </c>
    </row>
    <row r="38" spans="1:6">
      <c r="A38" t="s">
        <v>1440</v>
      </c>
      <c r="B38" t="s">
        <v>1505</v>
      </c>
      <c r="E38">
        <v>3499</v>
      </c>
      <c r="F38">
        <v>3499</v>
      </c>
    </row>
    <row r="39" spans="1:6">
      <c r="A39" t="s">
        <v>1440</v>
      </c>
      <c r="B39" t="s">
        <v>1402</v>
      </c>
      <c r="C39" t="s">
        <v>466</v>
      </c>
      <c r="D39" t="s">
        <v>1320</v>
      </c>
      <c r="E39">
        <v>6598</v>
      </c>
      <c r="F39">
        <v>6598</v>
      </c>
    </row>
    <row r="40" spans="1:6">
      <c r="A40" t="s">
        <v>1440</v>
      </c>
      <c r="B40" t="s">
        <v>1402</v>
      </c>
      <c r="C40" t="s">
        <v>1506</v>
      </c>
      <c r="E40">
        <v>6598</v>
      </c>
      <c r="F40">
        <v>6598</v>
      </c>
    </row>
    <row r="41" spans="1:6">
      <c r="A41" t="s">
        <v>1440</v>
      </c>
      <c r="B41" t="s">
        <v>1507</v>
      </c>
      <c r="E41">
        <v>6598</v>
      </c>
      <c r="F41">
        <v>6598</v>
      </c>
    </row>
    <row r="42" spans="1:6">
      <c r="A42" t="s">
        <v>1440</v>
      </c>
      <c r="B42" t="s">
        <v>1403</v>
      </c>
      <c r="C42" t="s">
        <v>531</v>
      </c>
      <c r="D42" t="s">
        <v>1312</v>
      </c>
      <c r="E42">
        <v>499</v>
      </c>
      <c r="F42">
        <v>499</v>
      </c>
    </row>
    <row r="43" spans="1:6">
      <c r="A43" t="s">
        <v>1440</v>
      </c>
      <c r="B43" t="s">
        <v>1403</v>
      </c>
      <c r="C43" t="s">
        <v>1508</v>
      </c>
      <c r="E43">
        <v>499</v>
      </c>
      <c r="F43">
        <v>499</v>
      </c>
    </row>
    <row r="44" spans="1:6">
      <c r="A44" t="s">
        <v>1440</v>
      </c>
      <c r="B44" t="s">
        <v>1509</v>
      </c>
      <c r="E44">
        <v>499</v>
      </c>
      <c r="F44">
        <v>499</v>
      </c>
    </row>
    <row r="45" spans="1:6">
      <c r="A45" t="s">
        <v>1440</v>
      </c>
      <c r="B45" t="s">
        <v>1405</v>
      </c>
      <c r="C45" t="s">
        <v>650</v>
      </c>
      <c r="D45" t="s">
        <v>1312</v>
      </c>
      <c r="E45">
        <v>3499</v>
      </c>
      <c r="F45">
        <v>3499</v>
      </c>
    </row>
    <row r="46" spans="1:6">
      <c r="A46" t="s">
        <v>1440</v>
      </c>
      <c r="B46" t="s">
        <v>1405</v>
      </c>
      <c r="C46" t="s">
        <v>1510</v>
      </c>
      <c r="E46">
        <v>3499</v>
      </c>
      <c r="F46">
        <v>3499</v>
      </c>
    </row>
    <row r="47" spans="1:6">
      <c r="A47" t="s">
        <v>1440</v>
      </c>
      <c r="B47" t="s">
        <v>1511</v>
      </c>
      <c r="E47">
        <v>3499</v>
      </c>
      <c r="F47">
        <v>3499</v>
      </c>
    </row>
    <row r="48" spans="1:6">
      <c r="A48" t="s">
        <v>1440</v>
      </c>
      <c r="B48" t="s">
        <v>1406</v>
      </c>
      <c r="C48" t="s">
        <v>755</v>
      </c>
      <c r="D48" t="s">
        <v>1320</v>
      </c>
      <c r="E48">
        <v>599</v>
      </c>
      <c r="F48">
        <v>599</v>
      </c>
    </row>
    <row r="49" spans="1:6">
      <c r="A49" t="s">
        <v>1440</v>
      </c>
      <c r="B49" t="s">
        <v>1406</v>
      </c>
      <c r="C49" t="s">
        <v>1512</v>
      </c>
      <c r="E49">
        <v>599</v>
      </c>
      <c r="F49">
        <v>599</v>
      </c>
    </row>
    <row r="50" spans="1:6">
      <c r="A50" t="s">
        <v>1440</v>
      </c>
      <c r="B50" t="s">
        <v>1513</v>
      </c>
      <c r="E50">
        <v>599</v>
      </c>
      <c r="F50">
        <v>599</v>
      </c>
    </row>
    <row r="51" spans="1:6">
      <c r="A51" t="s">
        <v>1514</v>
      </c>
      <c r="E51">
        <v>14694</v>
      </c>
      <c r="F51">
        <v>14694</v>
      </c>
    </row>
    <row r="52" spans="1:6">
      <c r="A52" t="s">
        <v>1441</v>
      </c>
      <c r="B52" t="s">
        <v>1363</v>
      </c>
      <c r="C52" t="s">
        <v>287</v>
      </c>
      <c r="D52" t="s">
        <v>1312</v>
      </c>
      <c r="E52">
        <v>1999</v>
      </c>
      <c r="F52">
        <v>1999</v>
      </c>
    </row>
    <row r="53" spans="1:6">
      <c r="A53" t="s">
        <v>1441</v>
      </c>
      <c r="B53" t="s">
        <v>1363</v>
      </c>
      <c r="C53" t="s">
        <v>1515</v>
      </c>
      <c r="E53">
        <v>1999</v>
      </c>
      <c r="F53">
        <v>1999</v>
      </c>
    </row>
    <row r="54" spans="1:6">
      <c r="A54" t="s">
        <v>1441</v>
      </c>
      <c r="B54" t="s">
        <v>1516</v>
      </c>
      <c r="E54">
        <v>1999</v>
      </c>
      <c r="F54">
        <v>1999</v>
      </c>
    </row>
    <row r="55" spans="1:6">
      <c r="A55" t="s">
        <v>1517</v>
      </c>
      <c r="E55">
        <v>1999</v>
      </c>
      <c r="F55">
        <v>1999</v>
      </c>
    </row>
    <row r="56" spans="1:6">
      <c r="A56" t="s">
        <v>1444</v>
      </c>
      <c r="B56" t="s">
        <v>1319</v>
      </c>
      <c r="C56" t="s">
        <v>677</v>
      </c>
      <c r="D56" t="s">
        <v>1320</v>
      </c>
      <c r="E56">
        <v>1499</v>
      </c>
      <c r="F56">
        <v>500</v>
      </c>
    </row>
    <row r="57" spans="1:6">
      <c r="A57" t="s">
        <v>1444</v>
      </c>
      <c r="B57" t="s">
        <v>1319</v>
      </c>
      <c r="C57" t="s">
        <v>1518</v>
      </c>
      <c r="E57">
        <v>1499</v>
      </c>
      <c r="F57">
        <v>500</v>
      </c>
    </row>
    <row r="58" spans="1:6">
      <c r="A58" t="s">
        <v>1444</v>
      </c>
      <c r="B58" t="s">
        <v>1519</v>
      </c>
      <c r="E58">
        <v>1499</v>
      </c>
      <c r="F58">
        <v>500</v>
      </c>
    </row>
    <row r="59" spans="1:6">
      <c r="A59" t="s">
        <v>1444</v>
      </c>
      <c r="B59" t="s">
        <v>1327</v>
      </c>
      <c r="C59" t="s">
        <v>572</v>
      </c>
      <c r="D59" t="s">
        <v>1320</v>
      </c>
      <c r="E59">
        <v>2698</v>
      </c>
      <c r="F59">
        <v>300</v>
      </c>
    </row>
    <row r="60" spans="1:6">
      <c r="A60" t="s">
        <v>1444</v>
      </c>
      <c r="B60" t="s">
        <v>1327</v>
      </c>
      <c r="C60" t="s">
        <v>1520</v>
      </c>
      <c r="E60">
        <v>2698</v>
      </c>
      <c r="F60">
        <v>300</v>
      </c>
    </row>
    <row r="61" spans="1:6">
      <c r="A61" t="s">
        <v>1444</v>
      </c>
      <c r="B61" t="s">
        <v>1521</v>
      </c>
      <c r="E61">
        <v>2698</v>
      </c>
      <c r="F61">
        <v>300</v>
      </c>
    </row>
    <row r="62" spans="1:6">
      <c r="A62" t="s">
        <v>1444</v>
      </c>
      <c r="B62" t="s">
        <v>1329</v>
      </c>
      <c r="C62" t="s">
        <v>254</v>
      </c>
      <c r="D62" t="s">
        <v>1323</v>
      </c>
      <c r="E62">
        <v>6397</v>
      </c>
      <c r="F62">
        <v>799</v>
      </c>
    </row>
    <row r="63" spans="1:6">
      <c r="A63" t="s">
        <v>1444</v>
      </c>
      <c r="B63" t="s">
        <v>1329</v>
      </c>
      <c r="C63" t="s">
        <v>1522</v>
      </c>
      <c r="E63">
        <v>6397</v>
      </c>
      <c r="F63">
        <v>799</v>
      </c>
    </row>
    <row r="64" spans="1:6">
      <c r="A64" t="s">
        <v>1444</v>
      </c>
      <c r="B64" t="s">
        <v>1523</v>
      </c>
      <c r="E64">
        <v>6397</v>
      </c>
      <c r="F64">
        <v>799</v>
      </c>
    </row>
    <row r="65" spans="1:6">
      <c r="A65" t="s">
        <v>1444</v>
      </c>
      <c r="B65" t="s">
        <v>1350</v>
      </c>
      <c r="C65" t="s">
        <v>659</v>
      </c>
      <c r="D65" t="s">
        <v>1312</v>
      </c>
      <c r="E65">
        <v>5397</v>
      </c>
      <c r="F65">
        <v>799</v>
      </c>
    </row>
    <row r="66" spans="1:6">
      <c r="A66" t="s">
        <v>1444</v>
      </c>
      <c r="B66" t="s">
        <v>1350</v>
      </c>
      <c r="C66" t="s">
        <v>1524</v>
      </c>
      <c r="E66">
        <v>5397</v>
      </c>
      <c r="F66">
        <v>799</v>
      </c>
    </row>
    <row r="67" spans="1:6">
      <c r="A67" t="s">
        <v>1444</v>
      </c>
      <c r="B67" t="s">
        <v>1525</v>
      </c>
      <c r="E67">
        <v>5397</v>
      </c>
      <c r="F67">
        <v>799</v>
      </c>
    </row>
    <row r="68" spans="1:6">
      <c r="A68" t="s">
        <v>1444</v>
      </c>
      <c r="B68" t="s">
        <v>1351</v>
      </c>
      <c r="C68" t="s">
        <v>685</v>
      </c>
      <c r="D68" t="s">
        <v>1318</v>
      </c>
      <c r="E68">
        <v>2299</v>
      </c>
      <c r="F68">
        <v>300</v>
      </c>
    </row>
    <row r="69" spans="1:6">
      <c r="A69" t="s">
        <v>1444</v>
      </c>
      <c r="B69" t="s">
        <v>1351</v>
      </c>
      <c r="C69" t="s">
        <v>1526</v>
      </c>
      <c r="E69">
        <v>2299</v>
      </c>
      <c r="F69">
        <v>300</v>
      </c>
    </row>
    <row r="70" spans="1:6">
      <c r="A70" t="s">
        <v>1444</v>
      </c>
      <c r="B70" t="s">
        <v>1527</v>
      </c>
      <c r="E70">
        <v>2299</v>
      </c>
      <c r="F70">
        <v>300</v>
      </c>
    </row>
    <row r="71" spans="1:6">
      <c r="A71" t="s">
        <v>1444</v>
      </c>
      <c r="B71" t="s">
        <v>1367</v>
      </c>
      <c r="C71" t="s">
        <v>515</v>
      </c>
      <c r="D71" t="s">
        <v>1323</v>
      </c>
      <c r="E71">
        <v>2398</v>
      </c>
      <c r="F71">
        <v>799</v>
      </c>
    </row>
    <row r="72" spans="1:6">
      <c r="A72" t="s">
        <v>1444</v>
      </c>
      <c r="B72" t="s">
        <v>1367</v>
      </c>
      <c r="C72" t="s">
        <v>1528</v>
      </c>
      <c r="E72">
        <v>2398</v>
      </c>
      <c r="F72">
        <v>799</v>
      </c>
    </row>
    <row r="73" spans="1:6">
      <c r="A73" t="s">
        <v>1444</v>
      </c>
      <c r="B73" t="s">
        <v>1529</v>
      </c>
      <c r="E73">
        <v>2398</v>
      </c>
      <c r="F73">
        <v>799</v>
      </c>
    </row>
    <row r="74" spans="1:6">
      <c r="A74" t="s">
        <v>1444</v>
      </c>
      <c r="B74" t="s">
        <v>1368</v>
      </c>
      <c r="C74" t="s">
        <v>381</v>
      </c>
      <c r="D74" t="s">
        <v>1323</v>
      </c>
      <c r="E74">
        <v>1899</v>
      </c>
      <c r="F74">
        <v>300</v>
      </c>
    </row>
    <row r="75" spans="1:6">
      <c r="A75" t="s">
        <v>1444</v>
      </c>
      <c r="B75" t="s">
        <v>1368</v>
      </c>
      <c r="C75" t="s">
        <v>1530</v>
      </c>
      <c r="E75">
        <v>1899</v>
      </c>
      <c r="F75">
        <v>300</v>
      </c>
    </row>
    <row r="76" spans="1:6">
      <c r="A76" t="s">
        <v>1444</v>
      </c>
      <c r="B76" t="s">
        <v>1531</v>
      </c>
      <c r="E76">
        <v>1899</v>
      </c>
      <c r="F76">
        <v>300</v>
      </c>
    </row>
    <row r="77" spans="1:6">
      <c r="A77" t="s">
        <v>1444</v>
      </c>
      <c r="B77" t="s">
        <v>1372</v>
      </c>
      <c r="C77" t="s">
        <v>630</v>
      </c>
      <c r="D77" t="s">
        <v>1323</v>
      </c>
      <c r="E77">
        <v>1598</v>
      </c>
      <c r="F77">
        <v>799</v>
      </c>
    </row>
    <row r="78" spans="1:6">
      <c r="A78" t="s">
        <v>1444</v>
      </c>
      <c r="B78" t="s">
        <v>1372</v>
      </c>
      <c r="C78" t="s">
        <v>1532</v>
      </c>
      <c r="E78">
        <v>1598</v>
      </c>
      <c r="F78">
        <v>799</v>
      </c>
    </row>
    <row r="79" spans="1:6">
      <c r="A79" t="s">
        <v>1444</v>
      </c>
      <c r="B79" t="s">
        <v>1533</v>
      </c>
      <c r="E79">
        <v>1598</v>
      </c>
      <c r="F79">
        <v>799</v>
      </c>
    </row>
    <row r="80" spans="1:6">
      <c r="A80" t="s">
        <v>1534</v>
      </c>
      <c r="E80">
        <v>24185</v>
      </c>
      <c r="F80">
        <v>4596</v>
      </c>
    </row>
    <row r="81" spans="1:6">
      <c r="A81" t="s">
        <v>1443</v>
      </c>
      <c r="B81" t="s">
        <v>1392</v>
      </c>
      <c r="C81" t="s">
        <v>230</v>
      </c>
      <c r="D81" t="s">
        <v>1320</v>
      </c>
      <c r="E81">
        <v>1499</v>
      </c>
      <c r="F81">
        <v>1499</v>
      </c>
    </row>
    <row r="82" spans="1:6">
      <c r="A82" t="s">
        <v>1443</v>
      </c>
      <c r="B82" t="s">
        <v>1392</v>
      </c>
      <c r="C82" t="s">
        <v>1535</v>
      </c>
      <c r="E82">
        <v>1499</v>
      </c>
      <c r="F82">
        <v>1499</v>
      </c>
    </row>
    <row r="83" spans="1:6">
      <c r="A83" t="s">
        <v>1443</v>
      </c>
      <c r="B83" t="s">
        <v>1536</v>
      </c>
      <c r="E83">
        <v>1499</v>
      </c>
      <c r="F83">
        <v>1499</v>
      </c>
    </row>
    <row r="84" spans="1:6">
      <c r="A84" t="s">
        <v>1443</v>
      </c>
      <c r="B84" t="s">
        <v>1394</v>
      </c>
      <c r="C84" t="s">
        <v>675</v>
      </c>
      <c r="D84" t="s">
        <v>1312</v>
      </c>
      <c r="E84">
        <v>1598</v>
      </c>
      <c r="F84">
        <v>1598</v>
      </c>
    </row>
    <row r="85" spans="1:6">
      <c r="A85" t="s">
        <v>1443</v>
      </c>
      <c r="B85" t="s">
        <v>1394</v>
      </c>
      <c r="C85" t="s">
        <v>1537</v>
      </c>
      <c r="E85">
        <v>1598</v>
      </c>
      <c r="F85">
        <v>1598</v>
      </c>
    </row>
    <row r="86" spans="1:6">
      <c r="A86" t="s">
        <v>1443</v>
      </c>
      <c r="B86" t="s">
        <v>1538</v>
      </c>
      <c r="E86">
        <v>1598</v>
      </c>
      <c r="F86">
        <v>1598</v>
      </c>
    </row>
    <row r="87" spans="1:6">
      <c r="A87" t="s">
        <v>1443</v>
      </c>
      <c r="B87" t="s">
        <v>1395</v>
      </c>
      <c r="C87" t="s">
        <v>600</v>
      </c>
      <c r="D87" t="s">
        <v>1312</v>
      </c>
      <c r="E87">
        <v>999</v>
      </c>
      <c r="F87">
        <v>999</v>
      </c>
    </row>
    <row r="88" spans="1:6">
      <c r="A88" t="s">
        <v>1443</v>
      </c>
      <c r="B88" t="s">
        <v>1395</v>
      </c>
      <c r="C88" t="s">
        <v>1539</v>
      </c>
      <c r="E88">
        <v>999</v>
      </c>
      <c r="F88">
        <v>999</v>
      </c>
    </row>
    <row r="89" spans="1:6">
      <c r="A89" t="s">
        <v>1443</v>
      </c>
      <c r="B89" t="s">
        <v>1540</v>
      </c>
      <c r="E89">
        <v>999</v>
      </c>
      <c r="F89">
        <v>999</v>
      </c>
    </row>
    <row r="90" spans="1:6">
      <c r="A90" t="s">
        <v>1443</v>
      </c>
      <c r="B90" t="s">
        <v>1396</v>
      </c>
      <c r="C90" t="s">
        <v>79</v>
      </c>
      <c r="D90" t="s">
        <v>1318</v>
      </c>
      <c r="E90">
        <v>1499</v>
      </c>
      <c r="F90">
        <v>1499</v>
      </c>
    </row>
    <row r="91" spans="1:6">
      <c r="A91" t="s">
        <v>1443</v>
      </c>
      <c r="B91" t="s">
        <v>1396</v>
      </c>
      <c r="C91" t="s">
        <v>1541</v>
      </c>
      <c r="E91">
        <v>1499</v>
      </c>
      <c r="F91">
        <v>1499</v>
      </c>
    </row>
    <row r="92" spans="1:6">
      <c r="A92" t="s">
        <v>1443</v>
      </c>
      <c r="B92" t="s">
        <v>1542</v>
      </c>
      <c r="E92">
        <v>1499</v>
      </c>
      <c r="F92">
        <v>1499</v>
      </c>
    </row>
    <row r="93" spans="1:6">
      <c r="A93" t="s">
        <v>1443</v>
      </c>
      <c r="B93" t="s">
        <v>1397</v>
      </c>
      <c r="C93" t="s">
        <v>576</v>
      </c>
      <c r="D93" t="s">
        <v>1323</v>
      </c>
      <c r="E93">
        <v>6998</v>
      </c>
      <c r="F93">
        <v>6998</v>
      </c>
    </row>
    <row r="94" spans="1:6">
      <c r="A94" t="s">
        <v>1443</v>
      </c>
      <c r="B94" t="s">
        <v>1397</v>
      </c>
      <c r="C94" t="s">
        <v>1543</v>
      </c>
      <c r="E94">
        <v>6998</v>
      </c>
      <c r="F94">
        <v>6998</v>
      </c>
    </row>
    <row r="95" spans="1:6">
      <c r="A95" t="s">
        <v>1443</v>
      </c>
      <c r="B95" t="s">
        <v>1544</v>
      </c>
      <c r="E95">
        <v>6998</v>
      </c>
      <c r="F95">
        <v>6998</v>
      </c>
    </row>
    <row r="96" spans="1:6">
      <c r="A96" t="s">
        <v>1443</v>
      </c>
      <c r="B96" t="s">
        <v>1398</v>
      </c>
      <c r="C96" t="s">
        <v>44</v>
      </c>
      <c r="D96" t="s">
        <v>1312</v>
      </c>
      <c r="E96">
        <v>499</v>
      </c>
      <c r="F96">
        <v>499</v>
      </c>
    </row>
    <row r="97" spans="1:6">
      <c r="A97" t="s">
        <v>1443</v>
      </c>
      <c r="B97" t="s">
        <v>1398</v>
      </c>
      <c r="C97" t="s">
        <v>1545</v>
      </c>
      <c r="E97">
        <v>499</v>
      </c>
      <c r="F97">
        <v>499</v>
      </c>
    </row>
    <row r="98" spans="1:6">
      <c r="A98" t="s">
        <v>1443</v>
      </c>
      <c r="B98" t="s">
        <v>1546</v>
      </c>
      <c r="E98">
        <v>499</v>
      </c>
      <c r="F98">
        <v>499</v>
      </c>
    </row>
    <row r="99" spans="1:6">
      <c r="A99" t="s">
        <v>1443</v>
      </c>
      <c r="B99" t="s">
        <v>1399</v>
      </c>
      <c r="C99" t="s">
        <v>732</v>
      </c>
      <c r="D99" t="s">
        <v>1312</v>
      </c>
      <c r="E99">
        <v>1999</v>
      </c>
      <c r="F99">
        <v>1999</v>
      </c>
    </row>
    <row r="100" spans="1:6">
      <c r="A100" t="s">
        <v>1443</v>
      </c>
      <c r="B100" t="s">
        <v>1399</v>
      </c>
      <c r="C100" t="s">
        <v>1547</v>
      </c>
      <c r="E100">
        <v>1999</v>
      </c>
      <c r="F100">
        <v>1999</v>
      </c>
    </row>
    <row r="101" spans="1:6">
      <c r="A101" t="s">
        <v>1443</v>
      </c>
      <c r="B101" t="s">
        <v>1548</v>
      </c>
      <c r="E101">
        <v>1999</v>
      </c>
      <c r="F101">
        <v>1999</v>
      </c>
    </row>
    <row r="102" spans="1:6">
      <c r="A102" t="s">
        <v>1549</v>
      </c>
      <c r="E102">
        <v>15091</v>
      </c>
      <c r="F102">
        <v>15091</v>
      </c>
    </row>
    <row r="103" spans="1:6">
      <c r="A103" t="s">
        <v>1445</v>
      </c>
      <c r="B103" t="s">
        <v>1333</v>
      </c>
      <c r="C103" t="s">
        <v>682</v>
      </c>
      <c r="D103" t="s">
        <v>1323</v>
      </c>
      <c r="E103">
        <v>1999</v>
      </c>
      <c r="F103">
        <v>1999</v>
      </c>
    </row>
    <row r="104" spans="1:6">
      <c r="A104" t="s">
        <v>1445</v>
      </c>
      <c r="B104" t="s">
        <v>1333</v>
      </c>
      <c r="C104" t="s">
        <v>1550</v>
      </c>
      <c r="E104">
        <v>1999</v>
      </c>
      <c r="F104">
        <v>1999</v>
      </c>
    </row>
    <row r="105" spans="1:6">
      <c r="A105" t="s">
        <v>1445</v>
      </c>
      <c r="B105" t="s">
        <v>1551</v>
      </c>
      <c r="E105">
        <v>1999</v>
      </c>
      <c r="F105">
        <v>1999</v>
      </c>
    </row>
    <row r="106" spans="1:6">
      <c r="A106" t="s">
        <v>1445</v>
      </c>
      <c r="B106" t="s">
        <v>1380</v>
      </c>
      <c r="C106" t="s">
        <v>711</v>
      </c>
      <c r="D106" t="s">
        <v>1318</v>
      </c>
      <c r="E106">
        <v>1599</v>
      </c>
      <c r="F106">
        <v>1599</v>
      </c>
    </row>
    <row r="107" spans="1:6">
      <c r="A107" t="s">
        <v>1445</v>
      </c>
      <c r="B107" t="s">
        <v>1380</v>
      </c>
      <c r="C107" t="s">
        <v>1552</v>
      </c>
      <c r="E107">
        <v>1599</v>
      </c>
      <c r="F107">
        <v>1599</v>
      </c>
    </row>
    <row r="108" spans="1:6">
      <c r="A108" t="s">
        <v>1445</v>
      </c>
      <c r="B108" t="s">
        <v>1553</v>
      </c>
      <c r="E108">
        <v>1599</v>
      </c>
      <c r="F108">
        <v>1599</v>
      </c>
    </row>
    <row r="109" spans="1:6">
      <c r="A109" t="s">
        <v>1554</v>
      </c>
      <c r="E109">
        <v>3598</v>
      </c>
      <c r="F109">
        <v>3598</v>
      </c>
    </row>
    <row r="110" spans="1:6">
      <c r="A110" t="s">
        <v>1494</v>
      </c>
      <c r="E110">
        <v>59567</v>
      </c>
      <c r="F110">
        <v>39978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9B8A-5863-43CC-85A6-ECDE252655B7}">
  <dimension ref="A3:B46"/>
  <sheetViews>
    <sheetView zoomScale="69" workbookViewId="0">
      <selection activeCell="N49" sqref="N49"/>
    </sheetView>
  </sheetViews>
  <sheetFormatPr defaultRowHeight="15"/>
  <cols>
    <col min="1" max="1" width="29.5703125" bestFit="1" customWidth="1"/>
    <col min="2" max="2" width="27.7109375" bestFit="1" customWidth="1"/>
  </cols>
  <sheetData>
    <row r="3" spans="1:2">
      <c r="A3" s="23" t="s">
        <v>1493</v>
      </c>
      <c r="B3" t="s">
        <v>1500</v>
      </c>
    </row>
    <row r="4" spans="1:2">
      <c r="A4" s="24" t="s">
        <v>1443</v>
      </c>
      <c r="B4">
        <v>15091</v>
      </c>
    </row>
    <row r="5" spans="1:2">
      <c r="A5" s="24" t="s">
        <v>1440</v>
      </c>
      <c r="B5">
        <v>14694</v>
      </c>
    </row>
    <row r="6" spans="1:2">
      <c r="A6" s="24" t="s">
        <v>1444</v>
      </c>
      <c r="B6">
        <v>4596</v>
      </c>
    </row>
    <row r="7" spans="1:2">
      <c r="A7" s="24" t="s">
        <v>1445</v>
      </c>
      <c r="B7">
        <v>3598</v>
      </c>
    </row>
    <row r="8" spans="1:2">
      <c r="A8" s="24" t="s">
        <v>1441</v>
      </c>
      <c r="B8">
        <v>1999</v>
      </c>
    </row>
    <row r="9" spans="1:2">
      <c r="A9" s="24" t="s">
        <v>1494</v>
      </c>
      <c r="B9">
        <v>39978</v>
      </c>
    </row>
    <row r="18" spans="1:2">
      <c r="A18" s="23" t="s">
        <v>1493</v>
      </c>
      <c r="B18" t="s">
        <v>1500</v>
      </c>
    </row>
    <row r="19" spans="1:2">
      <c r="A19" s="24" t="s">
        <v>217</v>
      </c>
      <c r="B19">
        <v>13594</v>
      </c>
    </row>
    <row r="20" spans="1:2">
      <c r="A20" s="24" t="s">
        <v>104</v>
      </c>
      <c r="B20">
        <v>6998</v>
      </c>
    </row>
    <row r="21" spans="1:2">
      <c r="A21" s="24" t="s">
        <v>14</v>
      </c>
      <c r="B21">
        <v>6596</v>
      </c>
    </row>
    <row r="22" spans="1:2">
      <c r="A22" s="24" t="s">
        <v>21</v>
      </c>
      <c r="B22">
        <v>5296</v>
      </c>
    </row>
    <row r="23" spans="1:2">
      <c r="A23" s="24" t="s">
        <v>30</v>
      </c>
      <c r="B23">
        <v>2299</v>
      </c>
    </row>
    <row r="24" spans="1:2">
      <c r="A24" s="24" t="s">
        <v>64</v>
      </c>
      <c r="B24">
        <v>2098</v>
      </c>
    </row>
    <row r="25" spans="1:2">
      <c r="A25" s="24" t="s">
        <v>73</v>
      </c>
      <c r="B25">
        <v>1598</v>
      </c>
    </row>
    <row r="26" spans="1:2">
      <c r="A26" s="24" t="s">
        <v>89</v>
      </c>
      <c r="B26">
        <v>1499</v>
      </c>
    </row>
    <row r="27" spans="1:2">
      <c r="A27" s="24" t="s">
        <v>1417</v>
      </c>
      <c r="B27">
        <v>0</v>
      </c>
    </row>
    <row r="28" spans="1:2">
      <c r="A28" s="24" t="s">
        <v>1494</v>
      </c>
      <c r="B28">
        <v>39978</v>
      </c>
    </row>
    <row r="38" spans="1:2">
      <c r="A38" s="23" t="s">
        <v>1493</v>
      </c>
      <c r="B38" t="s">
        <v>1500</v>
      </c>
    </row>
    <row r="39" spans="1:2">
      <c r="A39" s="24" t="s">
        <v>1413</v>
      </c>
      <c r="B39">
        <v>0</v>
      </c>
    </row>
    <row r="40" spans="1:2">
      <c r="A40" s="24" t="s">
        <v>1410</v>
      </c>
      <c r="B40">
        <v>8997</v>
      </c>
    </row>
    <row r="41" spans="1:2">
      <c r="A41" s="24" t="s">
        <v>1412</v>
      </c>
      <c r="B41">
        <v>3697</v>
      </c>
    </row>
    <row r="42" spans="1:2">
      <c r="A42" s="24" t="s">
        <v>1411</v>
      </c>
      <c r="B42">
        <v>3799</v>
      </c>
    </row>
    <row r="43" spans="1:2">
      <c r="A43" s="24" t="s">
        <v>1415</v>
      </c>
      <c r="B43">
        <v>2397</v>
      </c>
    </row>
    <row r="44" spans="1:2">
      <c r="A44" s="24" t="s">
        <v>1414</v>
      </c>
      <c r="B44">
        <v>8095</v>
      </c>
    </row>
    <row r="45" spans="1:2">
      <c r="A45" s="24" t="s">
        <v>1503</v>
      </c>
      <c r="B45">
        <v>12993</v>
      </c>
    </row>
    <row r="46" spans="1:2">
      <c r="A46" s="24" t="s">
        <v>1494</v>
      </c>
      <c r="B46">
        <v>39978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9950E-5855-442B-8CC3-6F6C96302E9E}">
  <dimension ref="A1:AJ80"/>
  <sheetViews>
    <sheetView topLeftCell="A2" workbookViewId="0">
      <selection activeCell="E15" sqref="E15"/>
    </sheetView>
  </sheetViews>
  <sheetFormatPr defaultRowHeight="15"/>
  <cols>
    <col min="1" max="1" width="12.5703125" bestFit="1" customWidth="1"/>
    <col min="2" max="2" width="12.140625" bestFit="1" customWidth="1"/>
    <col min="3" max="3" width="11.28515625" bestFit="1" customWidth="1"/>
    <col min="4" max="4" width="14.85546875" bestFit="1" customWidth="1"/>
    <col min="5" max="6" width="18" bestFit="1" customWidth="1"/>
    <col min="7" max="7" width="15.140625" bestFit="1" customWidth="1"/>
    <col min="8" max="8" width="23.42578125" bestFit="1" customWidth="1"/>
    <col min="9" max="9" width="23" bestFit="1" customWidth="1"/>
    <col min="10" max="10" width="15.85546875" bestFit="1" customWidth="1"/>
    <col min="11" max="11" width="28.42578125" bestFit="1" customWidth="1"/>
    <col min="12" max="12" width="16.85546875" bestFit="1" customWidth="1"/>
    <col min="13" max="13" width="13.5703125" bestFit="1" customWidth="1"/>
    <col min="14" max="14" width="10.5703125" bestFit="1" customWidth="1"/>
    <col min="15" max="15" width="15.42578125" bestFit="1" customWidth="1"/>
    <col min="16" max="16" width="17.7109375" bestFit="1" customWidth="1"/>
    <col min="17" max="17" width="16.7109375" bestFit="1" customWidth="1"/>
    <col min="18" max="18" width="14.85546875" bestFit="1" customWidth="1"/>
    <col min="19" max="19" width="17.5703125" bestFit="1" customWidth="1"/>
    <col min="20" max="20" width="17.7109375" bestFit="1" customWidth="1"/>
    <col min="21" max="21" width="15.42578125" bestFit="1" customWidth="1"/>
    <col min="22" max="22" width="16.7109375" customWidth="1"/>
    <col min="23" max="23" width="21.85546875" bestFit="1" customWidth="1"/>
    <col min="24" max="24" width="22.28515625" bestFit="1" customWidth="1"/>
    <col min="25" max="25" width="17.5703125" bestFit="1" customWidth="1"/>
    <col min="26" max="26" width="19.5703125" bestFit="1" customWidth="1"/>
    <col min="27" max="27" width="21.42578125" bestFit="1" customWidth="1"/>
    <col min="28" max="28" width="16.7109375" bestFit="1" customWidth="1"/>
    <col min="29" max="29" width="14.5703125" bestFit="1" customWidth="1"/>
    <col min="30" max="30" width="26.5703125" bestFit="1" customWidth="1"/>
    <col min="31" max="31" width="16.140625" bestFit="1" customWidth="1"/>
    <col min="32" max="32" width="14.42578125" customWidth="1"/>
    <col min="33" max="33" width="16.85546875" bestFit="1" customWidth="1"/>
  </cols>
  <sheetData>
    <row r="1" spans="1:36">
      <c r="A1" t="s">
        <v>1305</v>
      </c>
      <c r="B1" t="s">
        <v>1178</v>
      </c>
      <c r="C1" t="s">
        <v>0</v>
      </c>
      <c r="D1" t="s">
        <v>1306</v>
      </c>
      <c r="E1" t="s">
        <v>1307</v>
      </c>
      <c r="F1" t="s">
        <v>1308</v>
      </c>
      <c r="G1" t="s">
        <v>1309</v>
      </c>
      <c r="H1" t="s">
        <v>1407</v>
      </c>
      <c r="I1" t="s">
        <v>1179</v>
      </c>
      <c r="J1" t="s">
        <v>1181</v>
      </c>
      <c r="K1" t="s">
        <v>1182</v>
      </c>
      <c r="L1" t="s">
        <v>1180</v>
      </c>
      <c r="M1" t="s">
        <v>1</v>
      </c>
      <c r="N1" t="s">
        <v>4</v>
      </c>
      <c r="O1" t="s">
        <v>5</v>
      </c>
      <c r="P1" t="s">
        <v>6</v>
      </c>
      <c r="Q1" t="s">
        <v>9</v>
      </c>
      <c r="R1" t="s">
        <v>10</v>
      </c>
      <c r="S1" t="s">
        <v>777</v>
      </c>
      <c r="T1" t="s">
        <v>779</v>
      </c>
      <c r="U1" t="s">
        <v>778</v>
      </c>
      <c r="V1" t="s">
        <v>1428</v>
      </c>
      <c r="W1" t="s">
        <v>1429</v>
      </c>
      <c r="X1" t="s">
        <v>1430</v>
      </c>
      <c r="Y1" t="s">
        <v>1431</v>
      </c>
      <c r="Z1" t="s">
        <v>1432</v>
      </c>
      <c r="AA1" t="s">
        <v>1433</v>
      </c>
      <c r="AB1" t="s">
        <v>1434</v>
      </c>
      <c r="AC1" t="s">
        <v>1435</v>
      </c>
      <c r="AD1" t="s">
        <v>1436</v>
      </c>
      <c r="AE1" t="s">
        <v>1437</v>
      </c>
      <c r="AF1" t="s">
        <v>1491</v>
      </c>
      <c r="AG1" t="s">
        <v>1492</v>
      </c>
    </row>
    <row r="2" spans="1:36">
      <c r="A2" t="s">
        <v>1388</v>
      </c>
      <c r="B2" t="s">
        <v>1299</v>
      </c>
      <c r="C2" t="s">
        <v>27</v>
      </c>
      <c r="D2" s="6">
        <v>46084</v>
      </c>
      <c r="E2">
        <v>1799</v>
      </c>
      <c r="F2" t="s">
        <v>1317</v>
      </c>
      <c r="G2" t="s">
        <v>1312</v>
      </c>
      <c r="H2" t="s">
        <v>1409</v>
      </c>
      <c r="I2" s="6">
        <v>46076</v>
      </c>
      <c r="J2" t="s">
        <v>1185</v>
      </c>
      <c r="K2" s="6">
        <v>46082</v>
      </c>
      <c r="L2" t="s">
        <v>1423</v>
      </c>
      <c r="M2" s="6">
        <v>46053</v>
      </c>
      <c r="N2" t="s">
        <v>30</v>
      </c>
      <c r="O2" t="s">
        <v>25</v>
      </c>
      <c r="P2" t="s">
        <v>31</v>
      </c>
      <c r="Q2">
        <v>1799</v>
      </c>
      <c r="R2" t="s">
        <v>17</v>
      </c>
      <c r="S2" t="s">
        <v>784</v>
      </c>
      <c r="T2" t="s">
        <v>782</v>
      </c>
      <c r="U2">
        <v>1799</v>
      </c>
      <c r="V2" t="str">
        <f>IF(rec_Refunds[[#This Row],[Return_Status]]="","FAIL","PASS")</f>
        <v>PASS</v>
      </c>
      <c r="W2" t="str">
        <f>IF(rec_Refunds[[#This Row],[Return_Status]]="","N/A",IF(rec_Refunds[[#This Row],[Return_Status]]="Received","PASS","FAIL"))</f>
        <v>PASS</v>
      </c>
      <c r="X2" t="str">
        <f>IF(rec_Refunds[[#This Row],[Payment_Status]]="Success","PASS","FAIL")</f>
        <v>PASS</v>
      </c>
      <c r="Y2" t="str">
        <f>IF(rec_Refunds[[#This Row],[R3_Payment_Success]]="FAIL","N/A",IF(rec_Refunds[[#This Row],[Refund_Amount]]&gt;rec_Refunds[[#This Row],[Amount_Paid]],"FAIL","PASS"))</f>
        <v>PASS</v>
      </c>
      <c r="Z2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2" t="str">
        <f>IF(rec_Refunds[[#This Row],[Return_Request_Date]]="","N/A",IF(rec_Refunds[[#This Row],[Return_Request_Date]]-rec_Refunds[[#This Row],[Order_Date]]&gt;30,"FAIL","PASS"))</f>
        <v>PASS</v>
      </c>
      <c r="AB2" t="str">
        <f>IF(rec_Refunds[[#This Row],[Return_Request_Date]]="","N/A",IF(rec_Refunds[[#This Row],[Return_Request_Date]]&lt;rec_Refunds[[#This Row],[Order_Date]],"CHECK","OK"))</f>
        <v>OK</v>
      </c>
      <c r="AC2">
        <f>COUNTIF(rec_Refunds[[#This Row],[R1_Has_Return]:[R6_Within_Window]],"FAIL")</f>
        <v>0</v>
      </c>
      <c r="AD2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2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2">
        <f>IF(rec_Refunds[[#This Row],[Exception_Type]]="None",0,1)</f>
        <v>0</v>
      </c>
      <c r="AG2" t="str">
        <f>TEXT(rec_Refunds[[#This Row],[Refund_Date]],"yyyy-mm")</f>
        <v>2026-03</v>
      </c>
    </row>
    <row r="3" spans="1:36">
      <c r="A3" t="s">
        <v>1322</v>
      </c>
      <c r="B3" t="s">
        <v>1192</v>
      </c>
      <c r="C3" t="s">
        <v>139</v>
      </c>
      <c r="D3" s="6">
        <v>46093</v>
      </c>
      <c r="E3">
        <v>999</v>
      </c>
      <c r="F3" t="s">
        <v>1314</v>
      </c>
      <c r="G3" t="s">
        <v>1323</v>
      </c>
      <c r="H3" t="s">
        <v>1409</v>
      </c>
      <c r="I3" s="6">
        <v>46079</v>
      </c>
      <c r="J3" t="s">
        <v>1185</v>
      </c>
      <c r="K3" s="6">
        <v>46088</v>
      </c>
      <c r="L3" t="s">
        <v>1419</v>
      </c>
      <c r="M3" s="6">
        <v>46061</v>
      </c>
      <c r="N3" t="s">
        <v>73</v>
      </c>
      <c r="O3" t="s">
        <v>36</v>
      </c>
      <c r="P3" t="s">
        <v>141</v>
      </c>
      <c r="Q3">
        <v>999</v>
      </c>
      <c r="R3" t="s">
        <v>17</v>
      </c>
      <c r="S3" t="s">
        <v>788</v>
      </c>
      <c r="T3" t="s">
        <v>782</v>
      </c>
      <c r="U3">
        <v>999</v>
      </c>
      <c r="V3" t="str">
        <f>IF(rec_Refunds[[#This Row],[Return_Status]]="","FAIL","PASS")</f>
        <v>PASS</v>
      </c>
      <c r="W3" t="str">
        <f>IF(rec_Refunds[[#This Row],[Return_Status]]="","N/A",IF(rec_Refunds[[#This Row],[Return_Status]]="Received","PASS","FAIL"))</f>
        <v>PASS</v>
      </c>
      <c r="X3" t="str">
        <f>IF(rec_Refunds[[#This Row],[Payment_Status]]="Success","PASS","FAIL")</f>
        <v>PASS</v>
      </c>
      <c r="Y3" t="str">
        <f>IF(rec_Refunds[[#This Row],[R3_Payment_Success]]="FAIL","N/A",IF(rec_Refunds[[#This Row],[Refund_Amount]]&gt;rec_Refunds[[#This Row],[Amount_Paid]],"FAIL","PASS"))</f>
        <v>PASS</v>
      </c>
      <c r="Z3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3" t="str">
        <f>IF(rec_Refunds[[#This Row],[Return_Request_Date]]="","N/A",IF(rec_Refunds[[#This Row],[Return_Request_Date]]-rec_Refunds[[#This Row],[Order_Date]]&gt;30,"FAIL","PASS"))</f>
        <v>PASS</v>
      </c>
      <c r="AB3" t="str">
        <f>IF(rec_Refunds[[#This Row],[Return_Request_Date]]="","N/A",IF(rec_Refunds[[#This Row],[Return_Request_Date]]&lt;rec_Refunds[[#This Row],[Order_Date]],"CHECK","OK"))</f>
        <v>OK</v>
      </c>
      <c r="AC3">
        <f>COUNTIF(rec_Refunds[[#This Row],[R1_Has_Return]:[R6_Within_Window]],"FAIL")</f>
        <v>0</v>
      </c>
      <c r="AD3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3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3">
        <f>IF(rec_Refunds[[#This Row],[Exception_Type]]="None",0,1)</f>
        <v>0</v>
      </c>
      <c r="AG3" t="str">
        <f>TEXT(rec_Refunds[[#This Row],[Refund_Date]],"yyyy-mm")</f>
        <v>2026-03</v>
      </c>
    </row>
    <row r="4" spans="1:36">
      <c r="A4" t="s">
        <v>1341</v>
      </c>
      <c r="B4" t="s">
        <v>1223</v>
      </c>
      <c r="C4" t="s">
        <v>601</v>
      </c>
      <c r="D4" s="6">
        <v>46165</v>
      </c>
      <c r="E4">
        <v>1999</v>
      </c>
      <c r="F4" t="s">
        <v>1311</v>
      </c>
      <c r="G4" t="s">
        <v>1312</v>
      </c>
      <c r="H4" t="s">
        <v>1409</v>
      </c>
      <c r="I4" s="6">
        <v>46160</v>
      </c>
      <c r="J4" t="s">
        <v>1185</v>
      </c>
      <c r="K4" s="6">
        <v>46164</v>
      </c>
      <c r="L4" t="s">
        <v>1419</v>
      </c>
      <c r="M4" s="6">
        <v>46154</v>
      </c>
      <c r="N4" t="s">
        <v>30</v>
      </c>
      <c r="O4" t="s">
        <v>15</v>
      </c>
      <c r="P4" t="s">
        <v>16</v>
      </c>
      <c r="Q4">
        <v>1999</v>
      </c>
      <c r="R4" t="s">
        <v>17</v>
      </c>
      <c r="S4" t="s">
        <v>790</v>
      </c>
      <c r="T4" t="s">
        <v>782</v>
      </c>
      <c r="U4">
        <v>1999</v>
      </c>
      <c r="V4" t="str">
        <f>IF(rec_Refunds[[#This Row],[Return_Status]]="","FAIL","PASS")</f>
        <v>PASS</v>
      </c>
      <c r="W4" t="str">
        <f>IF(rec_Refunds[[#This Row],[Return_Status]]="","N/A",IF(rec_Refunds[[#This Row],[Return_Status]]="Received","PASS","FAIL"))</f>
        <v>PASS</v>
      </c>
      <c r="X4" t="str">
        <f>IF(rec_Refunds[[#This Row],[Payment_Status]]="Success","PASS","FAIL")</f>
        <v>PASS</v>
      </c>
      <c r="Y4" t="str">
        <f>IF(rec_Refunds[[#This Row],[R3_Payment_Success]]="FAIL","N/A",IF(rec_Refunds[[#This Row],[Refund_Amount]]&gt;rec_Refunds[[#This Row],[Amount_Paid]],"FAIL","PASS"))</f>
        <v>PASS</v>
      </c>
      <c r="Z4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4" t="str">
        <f>IF(rec_Refunds[[#This Row],[Return_Request_Date]]="","N/A",IF(rec_Refunds[[#This Row],[Return_Request_Date]]-rec_Refunds[[#This Row],[Order_Date]]&gt;30,"FAIL","PASS"))</f>
        <v>PASS</v>
      </c>
      <c r="AB4" t="str">
        <f>IF(rec_Refunds[[#This Row],[Return_Request_Date]]="","N/A",IF(rec_Refunds[[#This Row],[Return_Request_Date]]&lt;rec_Refunds[[#This Row],[Order_Date]],"CHECK","OK"))</f>
        <v>OK</v>
      </c>
      <c r="AC4">
        <f>COUNTIF(rec_Refunds[[#This Row],[R1_Has_Return]:[R6_Within_Window]],"FAIL")</f>
        <v>0</v>
      </c>
      <c r="AD4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4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4">
        <f>IF(rec_Refunds[[#This Row],[Exception_Type]]="None",0,1)</f>
        <v>0</v>
      </c>
      <c r="AG4" t="str">
        <f>TEXT(rec_Refunds[[#This Row],[Refund_Date]],"yyyy-mm")</f>
        <v>2026-05</v>
      </c>
    </row>
    <row r="5" spans="1:36">
      <c r="A5" t="s">
        <v>1400</v>
      </c>
      <c r="B5" t="s">
        <v>1401</v>
      </c>
      <c r="C5" t="s">
        <v>53</v>
      </c>
      <c r="D5" s="6">
        <v>46126</v>
      </c>
      <c r="E5">
        <v>3499</v>
      </c>
      <c r="F5" t="s">
        <v>1314</v>
      </c>
      <c r="G5" t="s">
        <v>1320</v>
      </c>
      <c r="H5" t="s">
        <v>1409</v>
      </c>
      <c r="I5" s="6"/>
      <c r="K5" s="6"/>
      <c r="M5" s="6">
        <v>46142</v>
      </c>
      <c r="N5" t="s">
        <v>14</v>
      </c>
      <c r="O5" t="s">
        <v>47</v>
      </c>
      <c r="P5" t="s">
        <v>56</v>
      </c>
      <c r="Q5">
        <v>3499</v>
      </c>
      <c r="R5" t="s">
        <v>17</v>
      </c>
      <c r="S5" t="s">
        <v>784</v>
      </c>
      <c r="T5" t="s">
        <v>782</v>
      </c>
      <c r="U5">
        <v>3499</v>
      </c>
      <c r="V5" t="str">
        <f>IF(rec_Refunds[[#This Row],[Return_Status]]="","FAIL","PASS")</f>
        <v>FAIL</v>
      </c>
      <c r="W5" t="str">
        <f>IF(rec_Refunds[[#This Row],[Return_Status]]="","N/A",IF(rec_Refunds[[#This Row],[Return_Status]]="Received","PASS","FAIL"))</f>
        <v>N/A</v>
      </c>
      <c r="X5" t="str">
        <f>IF(rec_Refunds[[#This Row],[Payment_Status]]="Success","PASS","FAIL")</f>
        <v>PASS</v>
      </c>
      <c r="Y5" t="str">
        <f>IF(rec_Refunds[[#This Row],[R3_Payment_Success]]="FAIL","N/A",IF(rec_Refunds[[#This Row],[Refund_Amount]]&gt;rec_Refunds[[#This Row],[Amount_Paid]],"FAIL","PASS"))</f>
        <v>PASS</v>
      </c>
      <c r="Z5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5" t="str">
        <f>IF(rec_Refunds[[#This Row],[Return_Request_Date]]="","N/A",IF(rec_Refunds[[#This Row],[Return_Request_Date]]-rec_Refunds[[#This Row],[Order_Date]]&gt;30,"FAIL","PASS"))</f>
        <v>N/A</v>
      </c>
      <c r="AB5" t="str">
        <f>IF(rec_Refunds[[#This Row],[Return_Request_Date]]="","N/A",IF(rec_Refunds[[#This Row],[Return_Request_Date]]&lt;rec_Refunds[[#This Row],[Order_Date]],"CHECK","OK"))</f>
        <v>N/A</v>
      </c>
      <c r="AC5">
        <f>COUNTIF(rec_Refunds[[#This Row],[R1_Has_Return]:[R6_Within_Window]],"FAIL")</f>
        <v>1</v>
      </c>
      <c r="AD5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R1 No return record</v>
      </c>
      <c r="AE5">
        <f>IF(rec_Refunds[[#This Row],[Exception_Type]]="None",0,IF(LEFT(rec_Refunds[[#This Row],[Exception_Type]],2)="R4",rec_Refunds[[#This Row],[Refund_Amount]]-rec_Refunds[[#This Row],[Amount_Paid]],rec_Refunds[[#This Row],[Refund_Amount]]))</f>
        <v>3499</v>
      </c>
      <c r="AF5">
        <f>IF(rec_Refunds[[#This Row],[Exception_Type]]="None",0,1)</f>
        <v>1</v>
      </c>
      <c r="AG5" t="str">
        <f>TEXT(rec_Refunds[[#This Row],[Refund_Date]],"yyyy-mm")</f>
        <v>2026-04</v>
      </c>
    </row>
    <row r="6" spans="1:36">
      <c r="A6" t="s">
        <v>1332</v>
      </c>
      <c r="B6" t="s">
        <v>1212</v>
      </c>
      <c r="C6" t="s">
        <v>116</v>
      </c>
      <c r="D6" s="6">
        <v>46089</v>
      </c>
      <c r="E6">
        <v>6897</v>
      </c>
      <c r="F6" t="s">
        <v>1311</v>
      </c>
      <c r="G6" t="s">
        <v>1320</v>
      </c>
      <c r="H6" t="s">
        <v>1409</v>
      </c>
      <c r="I6" s="6">
        <v>46085</v>
      </c>
      <c r="J6" t="s">
        <v>1185</v>
      </c>
      <c r="K6" s="6">
        <v>46088</v>
      </c>
      <c r="L6" t="s">
        <v>1421</v>
      </c>
      <c r="M6" s="6">
        <v>46072</v>
      </c>
      <c r="N6" t="s">
        <v>104</v>
      </c>
      <c r="O6" t="s">
        <v>36</v>
      </c>
      <c r="P6" t="s">
        <v>37</v>
      </c>
      <c r="Q6">
        <v>6897</v>
      </c>
      <c r="R6" t="s">
        <v>17</v>
      </c>
      <c r="S6" t="s">
        <v>786</v>
      </c>
      <c r="T6" t="s">
        <v>782</v>
      </c>
      <c r="U6">
        <v>6897</v>
      </c>
      <c r="V6" t="str">
        <f>IF(rec_Refunds[[#This Row],[Return_Status]]="","FAIL","PASS")</f>
        <v>PASS</v>
      </c>
      <c r="W6" t="str">
        <f>IF(rec_Refunds[[#This Row],[Return_Status]]="","N/A",IF(rec_Refunds[[#This Row],[Return_Status]]="Received","PASS","FAIL"))</f>
        <v>PASS</v>
      </c>
      <c r="X6" t="str">
        <f>IF(rec_Refunds[[#This Row],[Payment_Status]]="Success","PASS","FAIL")</f>
        <v>PASS</v>
      </c>
      <c r="Y6" t="str">
        <f>IF(rec_Refunds[[#This Row],[R3_Payment_Success]]="FAIL","N/A",IF(rec_Refunds[[#This Row],[Refund_Amount]]&gt;rec_Refunds[[#This Row],[Amount_Paid]],"FAIL","PASS"))</f>
        <v>PASS</v>
      </c>
      <c r="Z6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6" t="str">
        <f>IF(rec_Refunds[[#This Row],[Return_Request_Date]]="","N/A",IF(rec_Refunds[[#This Row],[Return_Request_Date]]-rec_Refunds[[#This Row],[Order_Date]]&gt;30,"FAIL","PASS"))</f>
        <v>PASS</v>
      </c>
      <c r="AB6" t="str">
        <f>IF(rec_Refunds[[#This Row],[Return_Request_Date]]="","N/A",IF(rec_Refunds[[#This Row],[Return_Request_Date]]&lt;rec_Refunds[[#This Row],[Order_Date]],"CHECK","OK"))</f>
        <v>OK</v>
      </c>
      <c r="AC6">
        <f>COUNTIF(rec_Refunds[[#This Row],[R1_Has_Return]:[R6_Within_Window]],"FAIL")</f>
        <v>0</v>
      </c>
      <c r="AD6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6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6">
        <f>IF(rec_Refunds[[#This Row],[Exception_Type]]="None",0,1)</f>
        <v>0</v>
      </c>
      <c r="AG6" t="str">
        <f>TEXT(rec_Refunds[[#This Row],[Refund_Date]],"yyyy-mm")</f>
        <v>2026-03</v>
      </c>
    </row>
    <row r="7" spans="1:36">
      <c r="A7" t="s">
        <v>1319</v>
      </c>
      <c r="B7" t="s">
        <v>1188</v>
      </c>
      <c r="C7" t="s">
        <v>677</v>
      </c>
      <c r="D7" s="6">
        <v>46201</v>
      </c>
      <c r="E7">
        <v>1499</v>
      </c>
      <c r="F7" t="s">
        <v>1317</v>
      </c>
      <c r="G7" t="s">
        <v>1320</v>
      </c>
      <c r="H7" t="s">
        <v>1409</v>
      </c>
      <c r="I7" s="6">
        <v>46191</v>
      </c>
      <c r="J7" t="s">
        <v>1185</v>
      </c>
      <c r="K7" s="6">
        <v>46198</v>
      </c>
      <c r="L7" t="s">
        <v>1420</v>
      </c>
      <c r="M7" s="6">
        <v>46179</v>
      </c>
      <c r="N7" t="s">
        <v>30</v>
      </c>
      <c r="O7" t="s">
        <v>36</v>
      </c>
      <c r="P7" t="s">
        <v>141</v>
      </c>
      <c r="Q7">
        <v>999</v>
      </c>
      <c r="R7" t="s">
        <v>17</v>
      </c>
      <c r="S7" t="s">
        <v>781</v>
      </c>
      <c r="T7" t="s">
        <v>782</v>
      </c>
      <c r="U7">
        <v>999</v>
      </c>
      <c r="V7" t="str">
        <f>IF(rec_Refunds[[#This Row],[Return_Status]]="","FAIL","PASS")</f>
        <v>PASS</v>
      </c>
      <c r="W7" t="str">
        <f>IF(rec_Refunds[[#This Row],[Return_Status]]="","N/A",IF(rec_Refunds[[#This Row],[Return_Status]]="Received","PASS","FAIL"))</f>
        <v>PASS</v>
      </c>
      <c r="X7" t="str">
        <f>IF(rec_Refunds[[#This Row],[Payment_Status]]="Success","PASS","FAIL")</f>
        <v>PASS</v>
      </c>
      <c r="Y7" t="str">
        <f>IF(rec_Refunds[[#This Row],[R3_Payment_Success]]="FAIL","N/A",IF(rec_Refunds[[#This Row],[Refund_Amount]]&gt;rec_Refunds[[#This Row],[Amount_Paid]],"FAIL","PASS"))</f>
        <v>FAIL</v>
      </c>
      <c r="Z7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7" t="str">
        <f>IF(rec_Refunds[[#This Row],[Return_Request_Date]]="","N/A",IF(rec_Refunds[[#This Row],[Return_Request_Date]]-rec_Refunds[[#This Row],[Order_Date]]&gt;30,"FAIL","PASS"))</f>
        <v>PASS</v>
      </c>
      <c r="AB7" t="str">
        <f>IF(rec_Refunds[[#This Row],[Return_Request_Date]]="","N/A",IF(rec_Refunds[[#This Row],[Return_Request_Date]]&lt;rec_Refunds[[#This Row],[Order_Date]],"CHECK","OK"))</f>
        <v>OK</v>
      </c>
      <c r="AC7">
        <f>COUNTIF(rec_Refunds[[#This Row],[R1_Has_Return]:[R6_Within_Window]],"FAIL")</f>
        <v>1</v>
      </c>
      <c r="AD7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R4 Refund exceeds payment</v>
      </c>
      <c r="AE7">
        <f>IF(rec_Refunds[[#This Row],[Exception_Type]]="None",0,IF(LEFT(rec_Refunds[[#This Row],[Exception_Type]],2)="R4",rec_Refunds[[#This Row],[Refund_Amount]]-rec_Refunds[[#This Row],[Amount_Paid]],rec_Refunds[[#This Row],[Refund_Amount]]))</f>
        <v>500</v>
      </c>
      <c r="AF7">
        <f>IF(rec_Refunds[[#This Row],[Exception_Type]]="None",0,1)</f>
        <v>1</v>
      </c>
      <c r="AG7" t="str">
        <f>TEXT(rec_Refunds[[#This Row],[Refund_Date]],"yyyy-mm")</f>
        <v>2026-06</v>
      </c>
      <c r="AJ7" s="13"/>
    </row>
    <row r="8" spans="1:36">
      <c r="A8" t="s">
        <v>1342</v>
      </c>
      <c r="B8" t="s">
        <v>1227</v>
      </c>
      <c r="C8" t="s">
        <v>746</v>
      </c>
      <c r="D8" s="6">
        <v>46213</v>
      </c>
      <c r="E8">
        <v>2299</v>
      </c>
      <c r="F8" t="s">
        <v>1317</v>
      </c>
      <c r="G8" t="s">
        <v>1323</v>
      </c>
      <c r="H8" t="s">
        <v>1409</v>
      </c>
      <c r="I8" s="6">
        <v>46201</v>
      </c>
      <c r="J8" t="s">
        <v>1185</v>
      </c>
      <c r="K8" s="6">
        <v>46208</v>
      </c>
      <c r="L8" t="s">
        <v>1421</v>
      </c>
      <c r="M8" s="6">
        <v>46197</v>
      </c>
      <c r="N8" t="s">
        <v>21</v>
      </c>
      <c r="O8" t="s">
        <v>36</v>
      </c>
      <c r="P8" t="s">
        <v>37</v>
      </c>
      <c r="Q8">
        <v>2299</v>
      </c>
      <c r="R8" t="s">
        <v>17</v>
      </c>
      <c r="S8" t="s">
        <v>784</v>
      </c>
      <c r="T8" t="s">
        <v>782</v>
      </c>
      <c r="U8">
        <v>2299</v>
      </c>
      <c r="V8" t="str">
        <f>IF(rec_Refunds[[#This Row],[Return_Status]]="","FAIL","PASS")</f>
        <v>PASS</v>
      </c>
      <c r="W8" t="str">
        <f>IF(rec_Refunds[[#This Row],[Return_Status]]="","N/A",IF(rec_Refunds[[#This Row],[Return_Status]]="Received","PASS","FAIL"))</f>
        <v>PASS</v>
      </c>
      <c r="X8" t="str">
        <f>IF(rec_Refunds[[#This Row],[Payment_Status]]="Success","PASS","FAIL")</f>
        <v>PASS</v>
      </c>
      <c r="Y8" t="str">
        <f>IF(rec_Refunds[[#This Row],[R3_Payment_Success]]="FAIL","N/A",IF(rec_Refunds[[#This Row],[Refund_Amount]]&gt;rec_Refunds[[#This Row],[Amount_Paid]],"FAIL","PASS"))</f>
        <v>PASS</v>
      </c>
      <c r="Z8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8" t="str">
        <f>IF(rec_Refunds[[#This Row],[Return_Request_Date]]="","N/A",IF(rec_Refunds[[#This Row],[Return_Request_Date]]-rec_Refunds[[#This Row],[Order_Date]]&gt;30,"FAIL","PASS"))</f>
        <v>PASS</v>
      </c>
      <c r="AB8" t="str">
        <f>IF(rec_Refunds[[#This Row],[Return_Request_Date]]="","N/A",IF(rec_Refunds[[#This Row],[Return_Request_Date]]&lt;rec_Refunds[[#This Row],[Order_Date]],"CHECK","OK"))</f>
        <v>OK</v>
      </c>
      <c r="AC8">
        <f>COUNTIF(rec_Refunds[[#This Row],[R1_Has_Return]:[R6_Within_Window]],"FAIL")</f>
        <v>0</v>
      </c>
      <c r="AD8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8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8">
        <f>IF(rec_Refunds[[#This Row],[Exception_Type]]="None",0,1)</f>
        <v>0</v>
      </c>
      <c r="AG8" t="str">
        <f>TEXT(rec_Refunds[[#This Row],[Refund_Date]],"yyyy-mm")</f>
        <v>2026-07</v>
      </c>
    </row>
    <row r="9" spans="1:36">
      <c r="A9" t="s">
        <v>1389</v>
      </c>
      <c r="B9" t="s">
        <v>1300</v>
      </c>
      <c r="C9" t="s">
        <v>200</v>
      </c>
      <c r="D9" s="6">
        <v>46114</v>
      </c>
      <c r="E9">
        <v>3499</v>
      </c>
      <c r="F9" t="s">
        <v>1311</v>
      </c>
      <c r="G9" t="s">
        <v>1323</v>
      </c>
      <c r="H9" t="s">
        <v>1409</v>
      </c>
      <c r="I9" s="6">
        <v>46102</v>
      </c>
      <c r="J9" t="s">
        <v>1185</v>
      </c>
      <c r="K9" s="6">
        <v>46109</v>
      </c>
      <c r="L9" t="s">
        <v>1420</v>
      </c>
      <c r="M9" s="6">
        <v>46098</v>
      </c>
      <c r="N9" t="s">
        <v>30</v>
      </c>
      <c r="O9" t="s">
        <v>47</v>
      </c>
      <c r="P9" t="s">
        <v>56</v>
      </c>
      <c r="Q9">
        <v>3499</v>
      </c>
      <c r="R9" t="s">
        <v>17</v>
      </c>
      <c r="S9" t="s">
        <v>784</v>
      </c>
      <c r="T9" t="s">
        <v>782</v>
      </c>
      <c r="U9">
        <v>3499</v>
      </c>
      <c r="V9" t="str">
        <f>IF(rec_Refunds[[#This Row],[Return_Status]]="","FAIL","PASS")</f>
        <v>PASS</v>
      </c>
      <c r="W9" t="str">
        <f>IF(rec_Refunds[[#This Row],[Return_Status]]="","N/A",IF(rec_Refunds[[#This Row],[Return_Status]]="Received","PASS","FAIL"))</f>
        <v>PASS</v>
      </c>
      <c r="X9" t="str">
        <f>IF(rec_Refunds[[#This Row],[Payment_Status]]="Success","PASS","FAIL")</f>
        <v>PASS</v>
      </c>
      <c r="Y9" t="str">
        <f>IF(rec_Refunds[[#This Row],[R3_Payment_Success]]="FAIL","N/A",IF(rec_Refunds[[#This Row],[Refund_Amount]]&gt;rec_Refunds[[#This Row],[Amount_Paid]],"FAIL","PASS"))</f>
        <v>PASS</v>
      </c>
      <c r="Z9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9" t="str">
        <f>IF(rec_Refunds[[#This Row],[Return_Request_Date]]="","N/A",IF(rec_Refunds[[#This Row],[Return_Request_Date]]-rec_Refunds[[#This Row],[Order_Date]]&gt;30,"FAIL","PASS"))</f>
        <v>PASS</v>
      </c>
      <c r="AB9" t="str">
        <f>IF(rec_Refunds[[#This Row],[Return_Request_Date]]="","N/A",IF(rec_Refunds[[#This Row],[Return_Request_Date]]&lt;rec_Refunds[[#This Row],[Order_Date]],"CHECK","OK"))</f>
        <v>OK</v>
      </c>
      <c r="AC9">
        <f>COUNTIF(rec_Refunds[[#This Row],[R1_Has_Return]:[R6_Within_Window]],"FAIL")</f>
        <v>0</v>
      </c>
      <c r="AD9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9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9">
        <f>IF(rec_Refunds[[#This Row],[Exception_Type]]="None",0,1)</f>
        <v>0</v>
      </c>
      <c r="AG9" t="str">
        <f>TEXT(rec_Refunds[[#This Row],[Refund_Date]],"yyyy-mm")</f>
        <v>2026-04</v>
      </c>
    </row>
    <row r="10" spans="1:36">
      <c r="A10" t="s">
        <v>1380</v>
      </c>
      <c r="B10" t="s">
        <v>1284</v>
      </c>
      <c r="C10" t="s">
        <v>711</v>
      </c>
      <c r="D10" s="6">
        <v>46082</v>
      </c>
      <c r="E10">
        <v>1599</v>
      </c>
      <c r="F10" t="s">
        <v>1317</v>
      </c>
      <c r="G10" t="s">
        <v>1318</v>
      </c>
      <c r="H10" t="s">
        <v>1409</v>
      </c>
      <c r="I10" s="6">
        <v>46071</v>
      </c>
      <c r="J10" t="s">
        <v>1185</v>
      </c>
      <c r="K10" s="6">
        <v>46076</v>
      </c>
      <c r="L10" t="s">
        <v>1423</v>
      </c>
      <c r="M10" s="6">
        <v>46030</v>
      </c>
      <c r="N10" t="s">
        <v>217</v>
      </c>
      <c r="O10" t="s">
        <v>15</v>
      </c>
      <c r="P10" t="s">
        <v>162</v>
      </c>
      <c r="Q10">
        <v>1599</v>
      </c>
      <c r="R10" t="s">
        <v>17</v>
      </c>
      <c r="S10" t="s">
        <v>788</v>
      </c>
      <c r="T10" t="s">
        <v>782</v>
      </c>
      <c r="U10">
        <v>1599</v>
      </c>
      <c r="V10" t="str">
        <f>IF(rec_Refunds[[#This Row],[Return_Status]]="","FAIL","PASS")</f>
        <v>PASS</v>
      </c>
      <c r="W10" t="str">
        <f>IF(rec_Refunds[[#This Row],[Return_Status]]="","N/A",IF(rec_Refunds[[#This Row],[Return_Status]]="Received","PASS","FAIL"))</f>
        <v>PASS</v>
      </c>
      <c r="X10" t="str">
        <f>IF(rec_Refunds[[#This Row],[Payment_Status]]="Success","PASS","FAIL")</f>
        <v>PASS</v>
      </c>
      <c r="Y10" t="str">
        <f>IF(rec_Refunds[[#This Row],[R3_Payment_Success]]="FAIL","N/A",IF(rec_Refunds[[#This Row],[Refund_Amount]]&gt;rec_Refunds[[#This Row],[Amount_Paid]],"FAIL","PASS"))</f>
        <v>PASS</v>
      </c>
      <c r="Z10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10" t="str">
        <f>IF(rec_Refunds[[#This Row],[Return_Request_Date]]="","N/A",IF(rec_Refunds[[#This Row],[Return_Request_Date]]-rec_Refunds[[#This Row],[Order_Date]]&gt;30,"FAIL","PASS"))</f>
        <v>FAIL</v>
      </c>
      <c r="AB10" t="str">
        <f>IF(rec_Refunds[[#This Row],[Return_Request_Date]]="","N/A",IF(rec_Refunds[[#This Row],[Return_Request_Date]]&lt;rec_Refunds[[#This Row],[Order_Date]],"CHECK","OK"))</f>
        <v>OK</v>
      </c>
      <c r="AC10">
        <f>COUNTIF(rec_Refunds[[#This Row],[R1_Has_Return]:[R6_Within_Window]],"FAIL")</f>
        <v>1</v>
      </c>
      <c r="AD10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R6 Late return window</v>
      </c>
      <c r="AE10">
        <f>IF(rec_Refunds[[#This Row],[Exception_Type]]="None",0,IF(LEFT(rec_Refunds[[#This Row],[Exception_Type]],2)="R4",rec_Refunds[[#This Row],[Refund_Amount]]-rec_Refunds[[#This Row],[Amount_Paid]],rec_Refunds[[#This Row],[Refund_Amount]]))</f>
        <v>1599</v>
      </c>
      <c r="AF10">
        <f>IF(rec_Refunds[[#This Row],[Exception_Type]]="None",0,1)</f>
        <v>1</v>
      </c>
      <c r="AG10" t="str">
        <f>TEXT(rec_Refunds[[#This Row],[Refund_Date]],"yyyy-mm")</f>
        <v>2026-03</v>
      </c>
    </row>
    <row r="11" spans="1:36">
      <c r="A11" t="s">
        <v>1336</v>
      </c>
      <c r="B11" t="s">
        <v>1217</v>
      </c>
      <c r="C11" t="s">
        <v>298</v>
      </c>
      <c r="D11" s="6">
        <v>46219</v>
      </c>
      <c r="E11">
        <v>2499</v>
      </c>
      <c r="F11" t="s">
        <v>1317</v>
      </c>
      <c r="G11" t="s">
        <v>1323</v>
      </c>
      <c r="H11" t="s">
        <v>1409</v>
      </c>
      <c r="I11" s="6">
        <v>46213</v>
      </c>
      <c r="J11" t="s">
        <v>1185</v>
      </c>
      <c r="K11" s="6">
        <v>46216</v>
      </c>
      <c r="L11" t="s">
        <v>1422</v>
      </c>
      <c r="M11" s="6">
        <v>46196</v>
      </c>
      <c r="N11" t="s">
        <v>104</v>
      </c>
      <c r="O11" t="s">
        <v>22</v>
      </c>
      <c r="P11" t="s">
        <v>196</v>
      </c>
      <c r="Q11">
        <v>2499</v>
      </c>
      <c r="R11" t="s">
        <v>17</v>
      </c>
      <c r="S11" t="s">
        <v>781</v>
      </c>
      <c r="T11" t="s">
        <v>782</v>
      </c>
      <c r="U11">
        <v>2499</v>
      </c>
      <c r="V11" t="str">
        <f>IF(rec_Refunds[[#This Row],[Return_Status]]="","FAIL","PASS")</f>
        <v>PASS</v>
      </c>
      <c r="W11" t="str">
        <f>IF(rec_Refunds[[#This Row],[Return_Status]]="","N/A",IF(rec_Refunds[[#This Row],[Return_Status]]="Received","PASS","FAIL"))</f>
        <v>PASS</v>
      </c>
      <c r="X11" t="str">
        <f>IF(rec_Refunds[[#This Row],[Payment_Status]]="Success","PASS","FAIL")</f>
        <v>PASS</v>
      </c>
      <c r="Y11" t="str">
        <f>IF(rec_Refunds[[#This Row],[R3_Payment_Success]]="FAIL","N/A",IF(rec_Refunds[[#This Row],[Refund_Amount]]&gt;rec_Refunds[[#This Row],[Amount_Paid]],"FAIL","PASS"))</f>
        <v>PASS</v>
      </c>
      <c r="Z11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11" t="str">
        <f>IF(rec_Refunds[[#This Row],[Return_Request_Date]]="","N/A",IF(rec_Refunds[[#This Row],[Return_Request_Date]]-rec_Refunds[[#This Row],[Order_Date]]&gt;30,"FAIL","PASS"))</f>
        <v>PASS</v>
      </c>
      <c r="AB11" t="str">
        <f>IF(rec_Refunds[[#This Row],[Return_Request_Date]]="","N/A",IF(rec_Refunds[[#This Row],[Return_Request_Date]]&lt;rec_Refunds[[#This Row],[Order_Date]],"CHECK","OK"))</f>
        <v>OK</v>
      </c>
      <c r="AC11">
        <f>COUNTIF(rec_Refunds[[#This Row],[R1_Has_Return]:[R6_Within_Window]],"FAIL")</f>
        <v>0</v>
      </c>
      <c r="AD11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11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11">
        <f>IF(rec_Refunds[[#This Row],[Exception_Type]]="None",0,1)</f>
        <v>0</v>
      </c>
      <c r="AG11" t="str">
        <f>TEXT(rec_Refunds[[#This Row],[Refund_Date]],"yyyy-mm")</f>
        <v>2026-07</v>
      </c>
    </row>
    <row r="12" spans="1:36">
      <c r="A12" t="s">
        <v>1362</v>
      </c>
      <c r="B12" t="s">
        <v>1254</v>
      </c>
      <c r="C12" t="s">
        <v>579</v>
      </c>
      <c r="D12" s="6">
        <v>46223</v>
      </c>
      <c r="E12">
        <v>3499</v>
      </c>
      <c r="F12" t="s">
        <v>1317</v>
      </c>
      <c r="G12" t="s">
        <v>1320</v>
      </c>
      <c r="H12" t="s">
        <v>1425</v>
      </c>
      <c r="I12" s="6">
        <v>46216</v>
      </c>
      <c r="J12" t="s">
        <v>1185</v>
      </c>
      <c r="K12" s="6">
        <v>46221</v>
      </c>
      <c r="L12" t="s">
        <v>1423</v>
      </c>
      <c r="M12" s="6">
        <v>46203</v>
      </c>
      <c r="N12" t="s">
        <v>21</v>
      </c>
      <c r="O12" t="s">
        <v>47</v>
      </c>
      <c r="P12" t="s">
        <v>56</v>
      </c>
      <c r="Q12">
        <v>3499</v>
      </c>
      <c r="R12" t="s">
        <v>17</v>
      </c>
      <c r="S12" t="s">
        <v>788</v>
      </c>
      <c r="T12" t="s">
        <v>782</v>
      </c>
      <c r="U12">
        <v>3499</v>
      </c>
      <c r="V12" t="str">
        <f>IF(rec_Refunds[[#This Row],[Return_Status]]="","FAIL","PASS")</f>
        <v>PASS</v>
      </c>
      <c r="W12" t="str">
        <f>IF(rec_Refunds[[#This Row],[Return_Status]]="","N/A",IF(rec_Refunds[[#This Row],[Return_Status]]="Received","PASS","FAIL"))</f>
        <v>PASS</v>
      </c>
      <c r="X12" t="str">
        <f>IF(rec_Refunds[[#This Row],[Payment_Status]]="Success","PASS","FAIL")</f>
        <v>PASS</v>
      </c>
      <c r="Y12" t="str">
        <f>IF(rec_Refunds[[#This Row],[R3_Payment_Success]]="FAIL","N/A",IF(rec_Refunds[[#This Row],[Refund_Amount]]&gt;rec_Refunds[[#This Row],[Amount_Paid]],"FAIL","PASS"))</f>
        <v>PASS</v>
      </c>
      <c r="Z12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12" t="str">
        <f>IF(rec_Refunds[[#This Row],[Return_Request_Date]]="","N/A",IF(rec_Refunds[[#This Row],[Return_Request_Date]]-rec_Refunds[[#This Row],[Order_Date]]&gt;30,"FAIL","PASS"))</f>
        <v>PASS</v>
      </c>
      <c r="AB12" t="str">
        <f>IF(rec_Refunds[[#This Row],[Return_Request_Date]]="","N/A",IF(rec_Refunds[[#This Row],[Return_Request_Date]]&lt;rec_Refunds[[#This Row],[Order_Date]],"CHECK","OK"))</f>
        <v>OK</v>
      </c>
      <c r="AC12">
        <f>COUNTIF(rec_Refunds[[#This Row],[R1_Has_Return]:[R6_Within_Window]],"FAIL")</f>
        <v>0</v>
      </c>
      <c r="AD12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12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12">
        <f>IF(rec_Refunds[[#This Row],[Exception_Type]]="None",0,1)</f>
        <v>0</v>
      </c>
      <c r="AG12" t="str">
        <f>TEXT(rec_Refunds[[#This Row],[Refund_Date]],"yyyy-mm")</f>
        <v>2026-07</v>
      </c>
    </row>
    <row r="13" spans="1:36">
      <c r="A13" t="s">
        <v>1370</v>
      </c>
      <c r="B13" t="s">
        <v>1265</v>
      </c>
      <c r="C13" t="s">
        <v>745</v>
      </c>
      <c r="D13" s="6">
        <v>46205</v>
      </c>
      <c r="E13">
        <v>4497</v>
      </c>
      <c r="F13" t="s">
        <v>1314</v>
      </c>
      <c r="G13" t="s">
        <v>1320</v>
      </c>
      <c r="H13" t="s">
        <v>1409</v>
      </c>
      <c r="I13" s="6">
        <v>46178</v>
      </c>
      <c r="J13" t="s">
        <v>1185</v>
      </c>
      <c r="K13" s="6">
        <v>46199</v>
      </c>
      <c r="L13" t="s">
        <v>1421</v>
      </c>
      <c r="M13" s="6">
        <v>46183</v>
      </c>
      <c r="N13" t="s">
        <v>217</v>
      </c>
      <c r="O13" t="s">
        <v>22</v>
      </c>
      <c r="P13" t="s">
        <v>43</v>
      </c>
      <c r="Q13">
        <v>4497</v>
      </c>
      <c r="R13" t="s">
        <v>17</v>
      </c>
      <c r="S13" t="s">
        <v>790</v>
      </c>
      <c r="T13" t="s">
        <v>782</v>
      </c>
      <c r="U13">
        <v>4497</v>
      </c>
      <c r="V13" t="str">
        <f>IF(rec_Refunds[[#This Row],[Return_Status]]="","FAIL","PASS")</f>
        <v>PASS</v>
      </c>
      <c r="W13" t="str">
        <f>IF(rec_Refunds[[#This Row],[Return_Status]]="","N/A",IF(rec_Refunds[[#This Row],[Return_Status]]="Received","PASS","FAIL"))</f>
        <v>PASS</v>
      </c>
      <c r="X13" t="str">
        <f>IF(rec_Refunds[[#This Row],[Payment_Status]]="Success","PASS","FAIL")</f>
        <v>PASS</v>
      </c>
      <c r="Y13" t="str">
        <f>IF(rec_Refunds[[#This Row],[R3_Payment_Success]]="FAIL","N/A",IF(rec_Refunds[[#This Row],[Refund_Amount]]&gt;rec_Refunds[[#This Row],[Amount_Paid]],"FAIL","PASS"))</f>
        <v>PASS</v>
      </c>
      <c r="Z13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13" t="str">
        <f>IF(rec_Refunds[[#This Row],[Return_Request_Date]]="","N/A",IF(rec_Refunds[[#This Row],[Return_Request_Date]]-rec_Refunds[[#This Row],[Order_Date]]&gt;30,"FAIL","PASS"))</f>
        <v>PASS</v>
      </c>
      <c r="AB13" t="str">
        <f>IF(rec_Refunds[[#This Row],[Return_Request_Date]]="","N/A",IF(rec_Refunds[[#This Row],[Return_Request_Date]]&lt;rec_Refunds[[#This Row],[Order_Date]],"CHECK","OK"))</f>
        <v>CHECK</v>
      </c>
      <c r="AC13">
        <f>COUNTIF(rec_Refunds[[#This Row],[R1_Has_Return]:[R6_Within_Window]],"FAIL")</f>
        <v>0</v>
      </c>
      <c r="AD13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13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13">
        <f>IF(rec_Refunds[[#This Row],[Exception_Type]]="None",0,1)</f>
        <v>0</v>
      </c>
      <c r="AG13" t="str">
        <f>TEXT(rec_Refunds[[#This Row],[Refund_Date]],"yyyy-mm")</f>
        <v>2026-07</v>
      </c>
    </row>
    <row r="14" spans="1:36">
      <c r="A14" t="s">
        <v>1316</v>
      </c>
      <c r="B14" t="s">
        <v>1187</v>
      </c>
      <c r="C14" t="s">
        <v>716</v>
      </c>
      <c r="D14" s="6">
        <v>46080</v>
      </c>
      <c r="E14">
        <v>2799</v>
      </c>
      <c r="F14" t="s">
        <v>1317</v>
      </c>
      <c r="G14" t="s">
        <v>1318</v>
      </c>
      <c r="H14" t="s">
        <v>1409</v>
      </c>
      <c r="I14" s="6">
        <v>46071</v>
      </c>
      <c r="J14" t="s">
        <v>1185</v>
      </c>
      <c r="K14" s="6">
        <v>46076</v>
      </c>
      <c r="L14" t="s">
        <v>1419</v>
      </c>
      <c r="M14" s="6">
        <v>46066</v>
      </c>
      <c r="N14" t="s">
        <v>104</v>
      </c>
      <c r="O14" t="s">
        <v>47</v>
      </c>
      <c r="P14" t="s">
        <v>100</v>
      </c>
      <c r="Q14">
        <v>2799</v>
      </c>
      <c r="R14" t="s">
        <v>17</v>
      </c>
      <c r="S14" t="s">
        <v>788</v>
      </c>
      <c r="T14" t="s">
        <v>782</v>
      </c>
      <c r="U14">
        <v>2799</v>
      </c>
      <c r="V14" t="str">
        <f>IF(rec_Refunds[[#This Row],[Return_Status]]="","FAIL","PASS")</f>
        <v>PASS</v>
      </c>
      <c r="W14" t="str">
        <f>IF(rec_Refunds[[#This Row],[Return_Status]]="","N/A",IF(rec_Refunds[[#This Row],[Return_Status]]="Received","PASS","FAIL"))</f>
        <v>PASS</v>
      </c>
      <c r="X14" t="str">
        <f>IF(rec_Refunds[[#This Row],[Payment_Status]]="Success","PASS","FAIL")</f>
        <v>PASS</v>
      </c>
      <c r="Y14" t="str">
        <f>IF(rec_Refunds[[#This Row],[R3_Payment_Success]]="FAIL","N/A",IF(rec_Refunds[[#This Row],[Refund_Amount]]&gt;rec_Refunds[[#This Row],[Amount_Paid]],"FAIL","PASS"))</f>
        <v>PASS</v>
      </c>
      <c r="Z14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14" t="str">
        <f>IF(rec_Refunds[[#This Row],[Return_Request_Date]]="","N/A",IF(rec_Refunds[[#This Row],[Return_Request_Date]]-rec_Refunds[[#This Row],[Order_Date]]&gt;30,"FAIL","PASS"))</f>
        <v>PASS</v>
      </c>
      <c r="AB14" t="str">
        <f>IF(rec_Refunds[[#This Row],[Return_Request_Date]]="","N/A",IF(rec_Refunds[[#This Row],[Return_Request_Date]]&lt;rec_Refunds[[#This Row],[Order_Date]],"CHECK","OK"))</f>
        <v>OK</v>
      </c>
      <c r="AC14">
        <f>COUNTIF(rec_Refunds[[#This Row],[R1_Has_Return]:[R6_Within_Window]],"FAIL")</f>
        <v>0</v>
      </c>
      <c r="AD14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14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14">
        <f>IF(rec_Refunds[[#This Row],[Exception_Type]]="None",0,1)</f>
        <v>0</v>
      </c>
      <c r="AG14" t="str">
        <f>TEXT(rec_Refunds[[#This Row],[Refund_Date]],"yyyy-mm")</f>
        <v>2026-02</v>
      </c>
    </row>
    <row r="15" spans="1:36">
      <c r="A15" t="s">
        <v>1384</v>
      </c>
      <c r="B15" t="s">
        <v>1292</v>
      </c>
      <c r="C15" t="s">
        <v>755</v>
      </c>
      <c r="D15" s="6">
        <v>46217</v>
      </c>
      <c r="E15">
        <v>599</v>
      </c>
      <c r="F15" t="s">
        <v>1311</v>
      </c>
      <c r="G15" t="s">
        <v>1312</v>
      </c>
      <c r="H15" t="s">
        <v>1409</v>
      </c>
      <c r="I15" s="6">
        <v>46206</v>
      </c>
      <c r="J15" t="s">
        <v>1185</v>
      </c>
      <c r="K15" s="6">
        <v>46215</v>
      </c>
      <c r="L15" t="s">
        <v>1423</v>
      </c>
      <c r="M15" s="6">
        <v>46181</v>
      </c>
      <c r="N15" t="s">
        <v>14</v>
      </c>
      <c r="O15" t="s">
        <v>22</v>
      </c>
      <c r="P15" t="s">
        <v>138</v>
      </c>
      <c r="Q15">
        <v>599</v>
      </c>
      <c r="R15" t="s">
        <v>17</v>
      </c>
      <c r="S15" t="s">
        <v>786</v>
      </c>
      <c r="T15" t="s">
        <v>782</v>
      </c>
      <c r="U15">
        <v>599</v>
      </c>
      <c r="V15" t="str">
        <f>IF(rec_Refunds[[#This Row],[Return_Status]]="","FAIL","PASS")</f>
        <v>PASS</v>
      </c>
      <c r="W15" t="str">
        <f>IF(rec_Refunds[[#This Row],[Return_Status]]="","N/A",IF(rec_Refunds[[#This Row],[Return_Status]]="Received","PASS","FAIL"))</f>
        <v>PASS</v>
      </c>
      <c r="X15" t="str">
        <f>IF(rec_Refunds[[#This Row],[Payment_Status]]="Success","PASS","FAIL")</f>
        <v>PASS</v>
      </c>
      <c r="Y15" t="str">
        <f>IF(rec_Refunds[[#This Row],[R3_Payment_Success]]="FAIL","N/A",IF(rec_Refunds[[#This Row],[Refund_Amount]]&gt;rec_Refunds[[#This Row],[Amount_Paid]],"FAIL","PASS"))</f>
        <v>PASS</v>
      </c>
      <c r="Z15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15" t="str">
        <f>IF(rec_Refunds[[#This Row],[Return_Request_Date]]="","N/A",IF(rec_Refunds[[#This Row],[Return_Request_Date]]-rec_Refunds[[#This Row],[Order_Date]]&gt;30,"FAIL","PASS"))</f>
        <v>PASS</v>
      </c>
      <c r="AB15" t="str">
        <f>IF(rec_Refunds[[#This Row],[Return_Request_Date]]="","N/A",IF(rec_Refunds[[#This Row],[Return_Request_Date]]&lt;rec_Refunds[[#This Row],[Order_Date]],"CHECK","OK"))</f>
        <v>OK</v>
      </c>
      <c r="AC15">
        <f>COUNTIF(rec_Refunds[[#This Row],[R1_Has_Return]:[R6_Within_Window]],"FAIL")</f>
        <v>0</v>
      </c>
      <c r="AD15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15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15">
        <f>IF(rec_Refunds[[#This Row],[Exception_Type]]="None",0,1)</f>
        <v>0</v>
      </c>
      <c r="AG15" t="str">
        <f>TEXT(rec_Refunds[[#This Row],[Refund_Date]],"yyyy-mm")</f>
        <v>2026-07</v>
      </c>
    </row>
    <row r="16" spans="1:36">
      <c r="A16" t="s">
        <v>1406</v>
      </c>
      <c r="C16" t="s">
        <v>755</v>
      </c>
      <c r="D16" s="6">
        <v>46221</v>
      </c>
      <c r="E16">
        <v>599</v>
      </c>
      <c r="F16" t="s">
        <v>1314</v>
      </c>
      <c r="G16" t="s">
        <v>1320</v>
      </c>
      <c r="H16" t="s">
        <v>1409</v>
      </c>
      <c r="I16" s="6"/>
      <c r="K16" s="6"/>
      <c r="M16" s="6">
        <v>46181</v>
      </c>
      <c r="N16" t="s">
        <v>14</v>
      </c>
      <c r="O16" t="s">
        <v>22</v>
      </c>
      <c r="P16" t="s">
        <v>138</v>
      </c>
      <c r="Q16">
        <v>599</v>
      </c>
      <c r="R16" t="s">
        <v>17</v>
      </c>
      <c r="S16" t="s">
        <v>786</v>
      </c>
      <c r="T16" t="s">
        <v>782</v>
      </c>
      <c r="U16">
        <v>599</v>
      </c>
      <c r="V16" t="str">
        <f>IF(rec_Refunds[[#This Row],[Return_Status]]="","FAIL","PASS")</f>
        <v>FAIL</v>
      </c>
      <c r="W16" t="str">
        <f>IF(rec_Refunds[[#This Row],[Return_Status]]="","N/A",IF(rec_Refunds[[#This Row],[Return_Status]]="Received","PASS","FAIL"))</f>
        <v>N/A</v>
      </c>
      <c r="X16" t="str">
        <f>IF(rec_Refunds[[#This Row],[Payment_Status]]="Success","PASS","FAIL")</f>
        <v>PASS</v>
      </c>
      <c r="Y16" t="str">
        <f>IF(rec_Refunds[[#This Row],[R3_Payment_Success]]="FAIL","N/A",IF(rec_Refunds[[#This Row],[Refund_Amount]]&gt;rec_Refunds[[#This Row],[Amount_Paid]],"FAIL","PASS"))</f>
        <v>PASS</v>
      </c>
      <c r="Z16" t="str">
        <f>IF(rec_Refunds[[#This Row],[Return_ID]]="","N/A",IF(COUNTIFS(rec_Refunds[Return_ID],rec_Refunds[[#This Row],[Return_ID]],rec_Refunds[Refund_Date],"&lt;"&amp;rec_Refunds[[#This Row],[Refund_Date]])&gt;0,"FAIL","PASS"))</f>
        <v>N/A</v>
      </c>
      <c r="AA16" t="str">
        <f>IF(rec_Refunds[[#This Row],[Return_Request_Date]]="","N/A",IF(rec_Refunds[[#This Row],[Return_Request_Date]]-rec_Refunds[[#This Row],[Order_Date]]&gt;30,"FAIL","PASS"))</f>
        <v>N/A</v>
      </c>
      <c r="AB16" t="str">
        <f>IF(rec_Refunds[[#This Row],[Return_Request_Date]]="","N/A",IF(rec_Refunds[[#This Row],[Return_Request_Date]]&lt;rec_Refunds[[#This Row],[Order_Date]],"CHECK","OK"))</f>
        <v>N/A</v>
      </c>
      <c r="AC16">
        <f>COUNTIF(rec_Refunds[[#This Row],[R1_Has_Return]:[R6_Within_Window]],"FAIL")</f>
        <v>1</v>
      </c>
      <c r="AD16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R1 No return record</v>
      </c>
      <c r="AE16">
        <f>IF(rec_Refunds[[#This Row],[Exception_Type]]="None",0,IF(LEFT(rec_Refunds[[#This Row],[Exception_Type]],2)="R4",rec_Refunds[[#This Row],[Refund_Amount]]-rec_Refunds[[#This Row],[Amount_Paid]],rec_Refunds[[#This Row],[Refund_Amount]]))</f>
        <v>599</v>
      </c>
      <c r="AF16">
        <f>IF(rec_Refunds[[#This Row],[Exception_Type]]="None",0,1)</f>
        <v>1</v>
      </c>
      <c r="AG16" t="str">
        <f>TEXT(rec_Refunds[[#This Row],[Refund_Date]],"yyyy-mm")</f>
        <v>2026-07</v>
      </c>
    </row>
    <row r="17" spans="1:33">
      <c r="A17" t="s">
        <v>1377</v>
      </c>
      <c r="B17" t="s">
        <v>1280</v>
      </c>
      <c r="C17" t="s">
        <v>348</v>
      </c>
      <c r="D17" s="6">
        <v>46178</v>
      </c>
      <c r="E17">
        <v>2199</v>
      </c>
      <c r="F17" t="s">
        <v>1311</v>
      </c>
      <c r="G17" t="s">
        <v>1318</v>
      </c>
      <c r="H17" t="s">
        <v>1426</v>
      </c>
      <c r="I17" s="6">
        <v>46168</v>
      </c>
      <c r="J17" t="s">
        <v>1185</v>
      </c>
      <c r="K17" s="6">
        <v>46174</v>
      </c>
      <c r="L17" t="s">
        <v>1419</v>
      </c>
      <c r="M17" s="6">
        <v>46157</v>
      </c>
      <c r="N17" t="s">
        <v>73</v>
      </c>
      <c r="O17" t="s">
        <v>25</v>
      </c>
      <c r="P17" t="s">
        <v>69</v>
      </c>
      <c r="Q17">
        <v>2199</v>
      </c>
      <c r="R17" t="s">
        <v>17</v>
      </c>
      <c r="S17" t="s">
        <v>790</v>
      </c>
      <c r="T17" t="s">
        <v>782</v>
      </c>
      <c r="U17">
        <v>2199</v>
      </c>
      <c r="V17" t="str">
        <f>IF(rec_Refunds[[#This Row],[Return_Status]]="","FAIL","PASS")</f>
        <v>PASS</v>
      </c>
      <c r="W17" t="str">
        <f>IF(rec_Refunds[[#This Row],[Return_Status]]="","N/A",IF(rec_Refunds[[#This Row],[Return_Status]]="Received","PASS","FAIL"))</f>
        <v>PASS</v>
      </c>
      <c r="X17" t="str">
        <f>IF(rec_Refunds[[#This Row],[Payment_Status]]="Success","PASS","FAIL")</f>
        <v>PASS</v>
      </c>
      <c r="Y17" t="str">
        <f>IF(rec_Refunds[[#This Row],[R3_Payment_Success]]="FAIL","N/A",IF(rec_Refunds[[#This Row],[Refund_Amount]]&gt;rec_Refunds[[#This Row],[Amount_Paid]],"FAIL","PASS"))</f>
        <v>PASS</v>
      </c>
      <c r="Z17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17" t="str">
        <f>IF(rec_Refunds[[#This Row],[Return_Request_Date]]="","N/A",IF(rec_Refunds[[#This Row],[Return_Request_Date]]-rec_Refunds[[#This Row],[Order_Date]]&gt;30,"FAIL","PASS"))</f>
        <v>PASS</v>
      </c>
      <c r="AB17" t="str">
        <f>IF(rec_Refunds[[#This Row],[Return_Request_Date]]="","N/A",IF(rec_Refunds[[#This Row],[Return_Request_Date]]&lt;rec_Refunds[[#This Row],[Order_Date]],"CHECK","OK"))</f>
        <v>OK</v>
      </c>
      <c r="AC17">
        <f>COUNTIF(rec_Refunds[[#This Row],[R1_Has_Return]:[R6_Within_Window]],"FAIL")</f>
        <v>0</v>
      </c>
      <c r="AD17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17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17">
        <f>IF(rec_Refunds[[#This Row],[Exception_Type]]="None",0,1)</f>
        <v>0</v>
      </c>
      <c r="AG17" t="str">
        <f>TEXT(rec_Refunds[[#This Row],[Refund_Date]],"yyyy-mm")</f>
        <v>2026-06</v>
      </c>
    </row>
    <row r="18" spans="1:33">
      <c r="A18" t="s">
        <v>1344</v>
      </c>
      <c r="B18" t="s">
        <v>1230</v>
      </c>
      <c r="C18" t="s">
        <v>230</v>
      </c>
      <c r="D18" s="6">
        <v>46206</v>
      </c>
      <c r="E18">
        <v>1499</v>
      </c>
      <c r="F18" t="s">
        <v>1314</v>
      </c>
      <c r="G18" t="s">
        <v>1320</v>
      </c>
      <c r="H18" t="s">
        <v>1409</v>
      </c>
      <c r="I18" s="6">
        <v>46200</v>
      </c>
      <c r="J18" t="s">
        <v>1185</v>
      </c>
      <c r="K18" s="6">
        <v>46203</v>
      </c>
      <c r="L18" t="s">
        <v>1420</v>
      </c>
      <c r="M18" s="6">
        <v>46176</v>
      </c>
      <c r="N18" t="s">
        <v>89</v>
      </c>
      <c r="O18" t="s">
        <v>22</v>
      </c>
      <c r="P18" t="s">
        <v>43</v>
      </c>
      <c r="Q18">
        <v>1499</v>
      </c>
      <c r="R18" t="s">
        <v>17</v>
      </c>
      <c r="S18" t="s">
        <v>790</v>
      </c>
      <c r="T18" t="s">
        <v>782</v>
      </c>
      <c r="U18">
        <v>1499</v>
      </c>
      <c r="V18" t="str">
        <f>IF(rec_Refunds[[#This Row],[Return_Status]]="","FAIL","PASS")</f>
        <v>PASS</v>
      </c>
      <c r="W18" t="str">
        <f>IF(rec_Refunds[[#This Row],[Return_Status]]="","N/A",IF(rec_Refunds[[#This Row],[Return_Status]]="Received","PASS","FAIL"))</f>
        <v>PASS</v>
      </c>
      <c r="X18" t="str">
        <f>IF(rec_Refunds[[#This Row],[Payment_Status]]="Success","PASS","FAIL")</f>
        <v>PASS</v>
      </c>
      <c r="Y18" t="str">
        <f>IF(rec_Refunds[[#This Row],[R3_Payment_Success]]="FAIL","N/A",IF(rec_Refunds[[#This Row],[Refund_Amount]]&gt;rec_Refunds[[#This Row],[Amount_Paid]],"FAIL","PASS"))</f>
        <v>PASS</v>
      </c>
      <c r="Z18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18" t="str">
        <f>IF(rec_Refunds[[#This Row],[Return_Request_Date]]="","N/A",IF(rec_Refunds[[#This Row],[Return_Request_Date]]-rec_Refunds[[#This Row],[Order_Date]]&gt;30,"FAIL","PASS"))</f>
        <v>PASS</v>
      </c>
      <c r="AB18" t="str">
        <f>IF(rec_Refunds[[#This Row],[Return_Request_Date]]="","N/A",IF(rec_Refunds[[#This Row],[Return_Request_Date]]&lt;rec_Refunds[[#This Row],[Order_Date]],"CHECK","OK"))</f>
        <v>OK</v>
      </c>
      <c r="AC18">
        <f>COUNTIF(rec_Refunds[[#This Row],[R1_Has_Return]:[R6_Within_Window]],"FAIL")</f>
        <v>0</v>
      </c>
      <c r="AD18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18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18">
        <f>IF(rec_Refunds[[#This Row],[Exception_Type]]="None",0,1)</f>
        <v>0</v>
      </c>
      <c r="AG18" t="str">
        <f>TEXT(rec_Refunds[[#This Row],[Refund_Date]],"yyyy-mm")</f>
        <v>2026-07</v>
      </c>
    </row>
    <row r="19" spans="1:33">
      <c r="A19" t="s">
        <v>1392</v>
      </c>
      <c r="B19" t="s">
        <v>1230</v>
      </c>
      <c r="C19" t="s">
        <v>230</v>
      </c>
      <c r="D19" s="6">
        <v>46209</v>
      </c>
      <c r="E19">
        <v>1499</v>
      </c>
      <c r="F19" t="s">
        <v>1314</v>
      </c>
      <c r="G19" t="s">
        <v>1320</v>
      </c>
      <c r="H19" t="s">
        <v>1409</v>
      </c>
      <c r="I19" s="6">
        <v>46200</v>
      </c>
      <c r="J19" t="s">
        <v>1185</v>
      </c>
      <c r="K19" s="6">
        <v>46203</v>
      </c>
      <c r="L19" t="s">
        <v>1420</v>
      </c>
      <c r="M19" s="6">
        <v>46176</v>
      </c>
      <c r="N19" t="s">
        <v>89</v>
      </c>
      <c r="O19" t="s">
        <v>22</v>
      </c>
      <c r="P19" t="s">
        <v>43</v>
      </c>
      <c r="Q19">
        <v>1499</v>
      </c>
      <c r="R19" t="s">
        <v>17</v>
      </c>
      <c r="S19" t="s">
        <v>790</v>
      </c>
      <c r="T19" t="s">
        <v>782</v>
      </c>
      <c r="U19">
        <v>1499</v>
      </c>
      <c r="V19" t="str">
        <f>IF(rec_Refunds[[#This Row],[Return_Status]]="","FAIL","PASS")</f>
        <v>PASS</v>
      </c>
      <c r="W19" t="str">
        <f>IF(rec_Refunds[[#This Row],[Return_Status]]="","N/A",IF(rec_Refunds[[#This Row],[Return_Status]]="Received","PASS","FAIL"))</f>
        <v>PASS</v>
      </c>
      <c r="X19" t="str">
        <f>IF(rec_Refunds[[#This Row],[Payment_Status]]="Success","PASS","FAIL")</f>
        <v>PASS</v>
      </c>
      <c r="Y19" t="str">
        <f>IF(rec_Refunds[[#This Row],[R3_Payment_Success]]="FAIL","N/A",IF(rec_Refunds[[#This Row],[Refund_Amount]]&gt;rec_Refunds[[#This Row],[Amount_Paid]],"FAIL","PASS"))</f>
        <v>PASS</v>
      </c>
      <c r="Z19" t="str">
        <f>IF(rec_Refunds[[#This Row],[Return_ID]]="","N/A",IF(COUNTIFS(rec_Refunds[Return_ID],rec_Refunds[[#This Row],[Return_ID]],rec_Refunds[Refund_Date],"&lt;"&amp;rec_Refunds[[#This Row],[Refund_Date]])&gt;0,"FAIL","PASS"))</f>
        <v>FAIL</v>
      </c>
      <c r="AA19" t="str">
        <f>IF(rec_Refunds[[#This Row],[Return_Request_Date]]="","N/A",IF(rec_Refunds[[#This Row],[Return_Request_Date]]-rec_Refunds[[#This Row],[Order_Date]]&gt;30,"FAIL","PASS"))</f>
        <v>PASS</v>
      </c>
      <c r="AB19" t="str">
        <f>IF(rec_Refunds[[#This Row],[Return_Request_Date]]="","N/A",IF(rec_Refunds[[#This Row],[Return_Request_Date]]&lt;rec_Refunds[[#This Row],[Order_Date]],"CHECK","OK"))</f>
        <v>OK</v>
      </c>
      <c r="AC19">
        <f>COUNTIF(rec_Refunds[[#This Row],[R1_Has_Return]:[R6_Within_Window]],"FAIL")</f>
        <v>1</v>
      </c>
      <c r="AD19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R5 Duplicate refund</v>
      </c>
      <c r="AE19">
        <f>IF(rec_Refunds[[#This Row],[Exception_Type]]="None",0,IF(LEFT(rec_Refunds[[#This Row],[Exception_Type]],2)="R4",rec_Refunds[[#This Row],[Refund_Amount]]-rec_Refunds[[#This Row],[Amount_Paid]],rec_Refunds[[#This Row],[Refund_Amount]]))</f>
        <v>1499</v>
      </c>
      <c r="AF19">
        <f>IF(rec_Refunds[[#This Row],[Exception_Type]]="None",0,1)</f>
        <v>1</v>
      </c>
      <c r="AG19" t="str">
        <f>TEXT(rec_Refunds[[#This Row],[Refund_Date]],"yyyy-mm")</f>
        <v>2026-07</v>
      </c>
    </row>
    <row r="20" spans="1:33">
      <c r="A20" t="s">
        <v>1358</v>
      </c>
      <c r="B20" t="s">
        <v>1248</v>
      </c>
      <c r="C20" t="s">
        <v>339</v>
      </c>
      <c r="D20" s="6">
        <v>46082</v>
      </c>
      <c r="E20">
        <v>6598</v>
      </c>
      <c r="F20" t="s">
        <v>1314</v>
      </c>
      <c r="G20" t="s">
        <v>1318</v>
      </c>
      <c r="H20" t="s">
        <v>1409</v>
      </c>
      <c r="I20" s="6">
        <v>46072</v>
      </c>
      <c r="J20" t="s">
        <v>1185</v>
      </c>
      <c r="K20" s="6">
        <v>46076</v>
      </c>
      <c r="L20" t="s">
        <v>1423</v>
      </c>
      <c r="M20" s="6">
        <v>46053</v>
      </c>
      <c r="N20" t="s">
        <v>14</v>
      </c>
      <c r="O20" t="s">
        <v>22</v>
      </c>
      <c r="P20" t="s">
        <v>23</v>
      </c>
      <c r="Q20">
        <v>6598</v>
      </c>
      <c r="R20" t="s">
        <v>17</v>
      </c>
      <c r="S20" t="s">
        <v>781</v>
      </c>
      <c r="T20" t="s">
        <v>782</v>
      </c>
      <c r="U20">
        <v>6598</v>
      </c>
      <c r="V20" t="str">
        <f>IF(rec_Refunds[[#This Row],[Return_Status]]="","FAIL","PASS")</f>
        <v>PASS</v>
      </c>
      <c r="W20" t="str">
        <f>IF(rec_Refunds[[#This Row],[Return_Status]]="","N/A",IF(rec_Refunds[[#This Row],[Return_Status]]="Received","PASS","FAIL"))</f>
        <v>PASS</v>
      </c>
      <c r="X20" t="str">
        <f>IF(rec_Refunds[[#This Row],[Payment_Status]]="Success","PASS","FAIL")</f>
        <v>PASS</v>
      </c>
      <c r="Y20" t="str">
        <f>IF(rec_Refunds[[#This Row],[R3_Payment_Success]]="FAIL","N/A",IF(rec_Refunds[[#This Row],[Refund_Amount]]&gt;rec_Refunds[[#This Row],[Amount_Paid]],"FAIL","PASS"))</f>
        <v>PASS</v>
      </c>
      <c r="Z20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20" t="str">
        <f>IF(rec_Refunds[[#This Row],[Return_Request_Date]]="","N/A",IF(rec_Refunds[[#This Row],[Return_Request_Date]]-rec_Refunds[[#This Row],[Order_Date]]&gt;30,"FAIL","PASS"))</f>
        <v>PASS</v>
      </c>
      <c r="AB20" t="str">
        <f>IF(rec_Refunds[[#This Row],[Return_Request_Date]]="","N/A",IF(rec_Refunds[[#This Row],[Return_Request_Date]]&lt;rec_Refunds[[#This Row],[Order_Date]],"CHECK","OK"))</f>
        <v>OK</v>
      </c>
      <c r="AC20">
        <f>COUNTIF(rec_Refunds[[#This Row],[R1_Has_Return]:[R6_Within_Window]],"FAIL")</f>
        <v>0</v>
      </c>
      <c r="AD20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20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20">
        <f>IF(rec_Refunds[[#This Row],[Exception_Type]]="None",0,1)</f>
        <v>0</v>
      </c>
      <c r="AG20" t="str">
        <f>TEXT(rec_Refunds[[#This Row],[Refund_Date]],"yyyy-mm")</f>
        <v>2026-03</v>
      </c>
    </row>
    <row r="21" spans="1:33">
      <c r="A21" t="s">
        <v>1391</v>
      </c>
      <c r="B21" t="s">
        <v>1301</v>
      </c>
      <c r="C21" t="s">
        <v>751</v>
      </c>
      <c r="D21" s="6">
        <v>46164</v>
      </c>
      <c r="E21">
        <v>2299</v>
      </c>
      <c r="F21" t="s">
        <v>1311</v>
      </c>
      <c r="G21" t="s">
        <v>1318</v>
      </c>
      <c r="H21" t="s">
        <v>1426</v>
      </c>
      <c r="I21" s="6">
        <v>46156</v>
      </c>
      <c r="J21" t="s">
        <v>1185</v>
      </c>
      <c r="K21" s="6">
        <v>46159</v>
      </c>
      <c r="L21" t="s">
        <v>1203</v>
      </c>
      <c r="M21" s="6">
        <v>46131</v>
      </c>
      <c r="N21" t="s">
        <v>14</v>
      </c>
      <c r="O21" t="s">
        <v>36</v>
      </c>
      <c r="P21" t="s">
        <v>37</v>
      </c>
      <c r="Q21">
        <v>2299</v>
      </c>
      <c r="R21" t="s">
        <v>17</v>
      </c>
      <c r="S21" t="s">
        <v>781</v>
      </c>
      <c r="T21" t="s">
        <v>782</v>
      </c>
      <c r="U21">
        <v>2299</v>
      </c>
      <c r="V21" t="str">
        <f>IF(rec_Refunds[[#This Row],[Return_Status]]="","FAIL","PASS")</f>
        <v>PASS</v>
      </c>
      <c r="W21" t="str">
        <f>IF(rec_Refunds[[#This Row],[Return_Status]]="","N/A",IF(rec_Refunds[[#This Row],[Return_Status]]="Received","PASS","FAIL"))</f>
        <v>PASS</v>
      </c>
      <c r="X21" t="str">
        <f>IF(rec_Refunds[[#This Row],[Payment_Status]]="Success","PASS","FAIL")</f>
        <v>PASS</v>
      </c>
      <c r="Y21" t="str">
        <f>IF(rec_Refunds[[#This Row],[R3_Payment_Success]]="FAIL","N/A",IF(rec_Refunds[[#This Row],[Refund_Amount]]&gt;rec_Refunds[[#This Row],[Amount_Paid]],"FAIL","PASS"))</f>
        <v>PASS</v>
      </c>
      <c r="Z21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21" t="str">
        <f>IF(rec_Refunds[[#This Row],[Return_Request_Date]]="","N/A",IF(rec_Refunds[[#This Row],[Return_Request_Date]]-rec_Refunds[[#This Row],[Order_Date]]&gt;30,"FAIL","PASS"))</f>
        <v>PASS</v>
      </c>
      <c r="AB21" t="str">
        <f>IF(rec_Refunds[[#This Row],[Return_Request_Date]]="","N/A",IF(rec_Refunds[[#This Row],[Return_Request_Date]]&lt;rec_Refunds[[#This Row],[Order_Date]],"CHECK","OK"))</f>
        <v>OK</v>
      </c>
      <c r="AC21">
        <f>COUNTIF(rec_Refunds[[#This Row],[R1_Has_Return]:[R6_Within_Window]],"FAIL")</f>
        <v>0</v>
      </c>
      <c r="AD21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21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21">
        <f>IF(rec_Refunds[[#This Row],[Exception_Type]]="None",0,1)</f>
        <v>0</v>
      </c>
      <c r="AG21" t="str">
        <f>TEXT(rec_Refunds[[#This Row],[Refund_Date]],"yyyy-mm")</f>
        <v>2026-05</v>
      </c>
    </row>
    <row r="22" spans="1:33">
      <c r="A22" t="s">
        <v>1326</v>
      </c>
      <c r="B22" t="s">
        <v>1198</v>
      </c>
      <c r="C22" t="s">
        <v>520</v>
      </c>
      <c r="D22" s="6">
        <v>46076</v>
      </c>
      <c r="E22">
        <v>7998</v>
      </c>
      <c r="F22" t="s">
        <v>1317</v>
      </c>
      <c r="G22" t="s">
        <v>1320</v>
      </c>
      <c r="H22" t="s">
        <v>1409</v>
      </c>
      <c r="I22" s="6">
        <v>46066</v>
      </c>
      <c r="J22" t="s">
        <v>1185</v>
      </c>
      <c r="K22" s="6">
        <v>46074</v>
      </c>
      <c r="L22" t="s">
        <v>1419</v>
      </c>
      <c r="M22" s="6">
        <v>46058</v>
      </c>
      <c r="N22" t="s">
        <v>64</v>
      </c>
      <c r="O22" t="s">
        <v>25</v>
      </c>
      <c r="P22" t="s">
        <v>115</v>
      </c>
      <c r="Q22">
        <v>7998</v>
      </c>
      <c r="R22" t="s">
        <v>17</v>
      </c>
      <c r="S22" t="s">
        <v>784</v>
      </c>
      <c r="T22" t="s">
        <v>782</v>
      </c>
      <c r="U22">
        <v>7998</v>
      </c>
      <c r="V22" t="str">
        <f>IF(rec_Refunds[[#This Row],[Return_Status]]="","FAIL","PASS")</f>
        <v>PASS</v>
      </c>
      <c r="W22" t="str">
        <f>IF(rec_Refunds[[#This Row],[Return_Status]]="","N/A",IF(rec_Refunds[[#This Row],[Return_Status]]="Received","PASS","FAIL"))</f>
        <v>PASS</v>
      </c>
      <c r="X22" t="str">
        <f>IF(rec_Refunds[[#This Row],[Payment_Status]]="Success","PASS","FAIL")</f>
        <v>PASS</v>
      </c>
      <c r="Y22" t="str">
        <f>IF(rec_Refunds[[#This Row],[R3_Payment_Success]]="FAIL","N/A",IF(rec_Refunds[[#This Row],[Refund_Amount]]&gt;rec_Refunds[[#This Row],[Amount_Paid]],"FAIL","PASS"))</f>
        <v>PASS</v>
      </c>
      <c r="Z22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22" t="str">
        <f>IF(rec_Refunds[[#This Row],[Return_Request_Date]]="","N/A",IF(rec_Refunds[[#This Row],[Return_Request_Date]]-rec_Refunds[[#This Row],[Order_Date]]&gt;30,"FAIL","PASS"))</f>
        <v>PASS</v>
      </c>
      <c r="AB22" t="str">
        <f>IF(rec_Refunds[[#This Row],[Return_Request_Date]]="","N/A",IF(rec_Refunds[[#This Row],[Return_Request_Date]]&lt;rec_Refunds[[#This Row],[Order_Date]],"CHECK","OK"))</f>
        <v>OK</v>
      </c>
      <c r="AC22">
        <f>COUNTIF(rec_Refunds[[#This Row],[R1_Has_Return]:[R6_Within_Window]],"FAIL")</f>
        <v>0</v>
      </c>
      <c r="AD22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22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22">
        <f>IF(rec_Refunds[[#This Row],[Exception_Type]]="None",0,1)</f>
        <v>0</v>
      </c>
      <c r="AG22" t="str">
        <f>TEXT(rec_Refunds[[#This Row],[Refund_Date]],"yyyy-mm")</f>
        <v>2026-02</v>
      </c>
    </row>
    <row r="23" spans="1:33">
      <c r="A23" t="s">
        <v>1386</v>
      </c>
      <c r="B23" t="s">
        <v>1297</v>
      </c>
      <c r="C23" t="s">
        <v>112</v>
      </c>
      <c r="D23" s="6">
        <v>46187</v>
      </c>
      <c r="E23">
        <v>3999</v>
      </c>
      <c r="F23" t="s">
        <v>1311</v>
      </c>
      <c r="G23" t="s">
        <v>1417</v>
      </c>
      <c r="H23" t="s">
        <v>1409</v>
      </c>
      <c r="I23" s="6">
        <v>46172</v>
      </c>
      <c r="J23" t="s">
        <v>1185</v>
      </c>
      <c r="K23" s="6">
        <v>46181</v>
      </c>
      <c r="L23" t="s">
        <v>1423</v>
      </c>
      <c r="M23" s="6">
        <v>46156</v>
      </c>
      <c r="N23" t="s">
        <v>14</v>
      </c>
      <c r="O23" t="s">
        <v>25</v>
      </c>
      <c r="P23" t="s">
        <v>115</v>
      </c>
      <c r="Q23">
        <v>3999</v>
      </c>
      <c r="R23" t="s">
        <v>17</v>
      </c>
      <c r="S23" t="s">
        <v>788</v>
      </c>
      <c r="T23" t="s">
        <v>782</v>
      </c>
      <c r="U23">
        <v>3999</v>
      </c>
      <c r="V23" t="str">
        <f>IF(rec_Refunds[[#This Row],[Return_Status]]="","FAIL","PASS")</f>
        <v>PASS</v>
      </c>
      <c r="W23" t="str">
        <f>IF(rec_Refunds[[#This Row],[Return_Status]]="","N/A",IF(rec_Refunds[[#This Row],[Return_Status]]="Received","PASS","FAIL"))</f>
        <v>PASS</v>
      </c>
      <c r="X23" t="str">
        <f>IF(rec_Refunds[[#This Row],[Payment_Status]]="Success","PASS","FAIL")</f>
        <v>PASS</v>
      </c>
      <c r="Y23" t="str">
        <f>IF(rec_Refunds[[#This Row],[R3_Payment_Success]]="FAIL","N/A",IF(rec_Refunds[[#This Row],[Refund_Amount]]&gt;rec_Refunds[[#This Row],[Amount_Paid]],"FAIL","PASS"))</f>
        <v>PASS</v>
      </c>
      <c r="Z23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23" t="str">
        <f>IF(rec_Refunds[[#This Row],[Return_Request_Date]]="","N/A",IF(rec_Refunds[[#This Row],[Return_Request_Date]]-rec_Refunds[[#This Row],[Order_Date]]&gt;30,"FAIL","PASS"))</f>
        <v>PASS</v>
      </c>
      <c r="AB23" t="str">
        <f>IF(rec_Refunds[[#This Row],[Return_Request_Date]]="","N/A",IF(rec_Refunds[[#This Row],[Return_Request_Date]]&lt;rec_Refunds[[#This Row],[Order_Date]],"CHECK","OK"))</f>
        <v>OK</v>
      </c>
      <c r="AC23">
        <f>COUNTIF(rec_Refunds[[#This Row],[R1_Has_Return]:[R6_Within_Window]],"FAIL")</f>
        <v>0</v>
      </c>
      <c r="AD23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23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23">
        <f>IF(rec_Refunds[[#This Row],[Exception_Type]]="None",0,1)</f>
        <v>0</v>
      </c>
      <c r="AG23" t="str">
        <f>TEXT(rec_Refunds[[#This Row],[Refund_Date]],"yyyy-mm")</f>
        <v>2026-06</v>
      </c>
    </row>
    <row r="24" spans="1:33">
      <c r="A24" t="s">
        <v>1328</v>
      </c>
      <c r="B24" t="s">
        <v>1205</v>
      </c>
      <c r="C24" t="s">
        <v>404</v>
      </c>
      <c r="D24" s="6">
        <v>46072</v>
      </c>
      <c r="E24">
        <v>2199</v>
      </c>
      <c r="F24" t="s">
        <v>1317</v>
      </c>
      <c r="G24" t="s">
        <v>1318</v>
      </c>
      <c r="H24" t="s">
        <v>1409</v>
      </c>
      <c r="I24" s="6">
        <v>46058</v>
      </c>
      <c r="J24" t="s">
        <v>1185</v>
      </c>
      <c r="K24" s="6">
        <v>46067</v>
      </c>
      <c r="L24" t="s">
        <v>1422</v>
      </c>
      <c r="M24" s="6">
        <v>46035</v>
      </c>
      <c r="N24" t="s">
        <v>89</v>
      </c>
      <c r="O24" t="s">
        <v>25</v>
      </c>
      <c r="P24" t="s">
        <v>69</v>
      </c>
      <c r="Q24">
        <v>2199</v>
      </c>
      <c r="R24" t="s">
        <v>17</v>
      </c>
      <c r="S24" t="s">
        <v>781</v>
      </c>
      <c r="T24" t="s">
        <v>782</v>
      </c>
      <c r="U24">
        <v>2199</v>
      </c>
      <c r="V24" t="str">
        <f>IF(rec_Refunds[[#This Row],[Return_Status]]="","FAIL","PASS")</f>
        <v>PASS</v>
      </c>
      <c r="W24" t="str">
        <f>IF(rec_Refunds[[#This Row],[Return_Status]]="","N/A",IF(rec_Refunds[[#This Row],[Return_Status]]="Received","PASS","FAIL"))</f>
        <v>PASS</v>
      </c>
      <c r="X24" t="str">
        <f>IF(rec_Refunds[[#This Row],[Payment_Status]]="Success","PASS","FAIL")</f>
        <v>PASS</v>
      </c>
      <c r="Y24" t="str">
        <f>IF(rec_Refunds[[#This Row],[R3_Payment_Success]]="FAIL","N/A",IF(rec_Refunds[[#This Row],[Refund_Amount]]&gt;rec_Refunds[[#This Row],[Amount_Paid]],"FAIL","PASS"))</f>
        <v>PASS</v>
      </c>
      <c r="Z24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24" t="str">
        <f>IF(rec_Refunds[[#This Row],[Return_Request_Date]]="","N/A",IF(rec_Refunds[[#This Row],[Return_Request_Date]]-rec_Refunds[[#This Row],[Order_Date]]&gt;30,"FAIL","PASS"))</f>
        <v>PASS</v>
      </c>
      <c r="AB24" t="str">
        <f>IF(rec_Refunds[[#This Row],[Return_Request_Date]]="","N/A",IF(rec_Refunds[[#This Row],[Return_Request_Date]]&lt;rec_Refunds[[#This Row],[Order_Date]],"CHECK","OK"))</f>
        <v>OK</v>
      </c>
      <c r="AC24">
        <f>COUNTIF(rec_Refunds[[#This Row],[R1_Has_Return]:[R6_Within_Window]],"FAIL")</f>
        <v>0</v>
      </c>
      <c r="AD24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24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24">
        <f>IF(rec_Refunds[[#This Row],[Exception_Type]]="None",0,1)</f>
        <v>0</v>
      </c>
      <c r="AG24" t="str">
        <f>TEXT(rec_Refunds[[#This Row],[Refund_Date]],"yyyy-mm")</f>
        <v>2026-02</v>
      </c>
    </row>
    <row r="25" spans="1:33">
      <c r="A25" t="s">
        <v>1368</v>
      </c>
      <c r="B25" t="s">
        <v>1262</v>
      </c>
      <c r="C25" t="s">
        <v>381</v>
      </c>
      <c r="D25" s="6">
        <v>46158</v>
      </c>
      <c r="E25">
        <v>1899</v>
      </c>
      <c r="F25" t="s">
        <v>1311</v>
      </c>
      <c r="G25" t="s">
        <v>1323</v>
      </c>
      <c r="H25" t="s">
        <v>1409</v>
      </c>
      <c r="I25" s="6">
        <v>46147</v>
      </c>
      <c r="J25" t="s">
        <v>1185</v>
      </c>
      <c r="K25" s="6">
        <v>46155</v>
      </c>
      <c r="L25" t="s">
        <v>1423</v>
      </c>
      <c r="M25" s="6">
        <v>46142</v>
      </c>
      <c r="N25" t="s">
        <v>217</v>
      </c>
      <c r="O25" t="s">
        <v>15</v>
      </c>
      <c r="P25" t="s">
        <v>162</v>
      </c>
      <c r="Q25">
        <v>1599</v>
      </c>
      <c r="R25" t="s">
        <v>17</v>
      </c>
      <c r="S25" t="s">
        <v>786</v>
      </c>
      <c r="T25" t="s">
        <v>782</v>
      </c>
      <c r="U25">
        <v>1599</v>
      </c>
      <c r="V25" t="str">
        <f>IF(rec_Refunds[[#This Row],[Return_Status]]="","FAIL","PASS")</f>
        <v>PASS</v>
      </c>
      <c r="W25" t="str">
        <f>IF(rec_Refunds[[#This Row],[Return_Status]]="","N/A",IF(rec_Refunds[[#This Row],[Return_Status]]="Received","PASS","FAIL"))</f>
        <v>PASS</v>
      </c>
      <c r="X25" t="str">
        <f>IF(rec_Refunds[[#This Row],[Payment_Status]]="Success","PASS","FAIL")</f>
        <v>PASS</v>
      </c>
      <c r="Y25" t="str">
        <f>IF(rec_Refunds[[#This Row],[R3_Payment_Success]]="FAIL","N/A",IF(rec_Refunds[[#This Row],[Refund_Amount]]&gt;rec_Refunds[[#This Row],[Amount_Paid]],"FAIL","PASS"))</f>
        <v>FAIL</v>
      </c>
      <c r="Z25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25" t="str">
        <f>IF(rec_Refunds[[#This Row],[Return_Request_Date]]="","N/A",IF(rec_Refunds[[#This Row],[Return_Request_Date]]-rec_Refunds[[#This Row],[Order_Date]]&gt;30,"FAIL","PASS"))</f>
        <v>PASS</v>
      </c>
      <c r="AB25" t="str">
        <f>IF(rec_Refunds[[#This Row],[Return_Request_Date]]="","N/A",IF(rec_Refunds[[#This Row],[Return_Request_Date]]&lt;rec_Refunds[[#This Row],[Order_Date]],"CHECK","OK"))</f>
        <v>OK</v>
      </c>
      <c r="AC25">
        <f>COUNTIF(rec_Refunds[[#This Row],[R1_Has_Return]:[R6_Within_Window]],"FAIL")</f>
        <v>1</v>
      </c>
      <c r="AD25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R4 Refund exceeds payment</v>
      </c>
      <c r="AE25">
        <f>IF(rec_Refunds[[#This Row],[Exception_Type]]="None",0,IF(LEFT(rec_Refunds[[#This Row],[Exception_Type]],2)="R4",rec_Refunds[[#This Row],[Refund_Amount]]-rec_Refunds[[#This Row],[Amount_Paid]],rec_Refunds[[#This Row],[Refund_Amount]]))</f>
        <v>300</v>
      </c>
      <c r="AF25">
        <f>IF(rec_Refunds[[#This Row],[Exception_Type]]="None",0,1)</f>
        <v>1</v>
      </c>
      <c r="AG25" t="str">
        <f>TEXT(rec_Refunds[[#This Row],[Refund_Date]],"yyyy-mm")</f>
        <v>2026-05</v>
      </c>
    </row>
    <row r="26" spans="1:33">
      <c r="A26" t="s">
        <v>1353</v>
      </c>
      <c r="B26" t="s">
        <v>1243</v>
      </c>
      <c r="C26" t="s">
        <v>18</v>
      </c>
      <c r="D26" s="6">
        <v>46154</v>
      </c>
      <c r="E26">
        <v>3299</v>
      </c>
      <c r="F26" t="s">
        <v>1314</v>
      </c>
      <c r="G26" t="s">
        <v>1312</v>
      </c>
      <c r="H26" t="s">
        <v>1409</v>
      </c>
      <c r="I26" s="6">
        <v>46146</v>
      </c>
      <c r="J26" t="s">
        <v>1185</v>
      </c>
      <c r="K26" s="6">
        <v>46153</v>
      </c>
      <c r="L26" t="s">
        <v>1420</v>
      </c>
      <c r="M26" s="6">
        <v>46121</v>
      </c>
      <c r="N26" t="s">
        <v>21</v>
      </c>
      <c r="O26" t="s">
        <v>22</v>
      </c>
      <c r="P26" t="s">
        <v>23</v>
      </c>
      <c r="Q26">
        <v>3299</v>
      </c>
      <c r="R26" t="s">
        <v>17</v>
      </c>
      <c r="S26" t="s">
        <v>781</v>
      </c>
      <c r="T26" t="s">
        <v>782</v>
      </c>
      <c r="U26">
        <v>3299</v>
      </c>
      <c r="V26" t="str">
        <f>IF(rec_Refunds[[#This Row],[Return_Status]]="","FAIL","PASS")</f>
        <v>PASS</v>
      </c>
      <c r="W26" t="str">
        <f>IF(rec_Refunds[[#This Row],[Return_Status]]="","N/A",IF(rec_Refunds[[#This Row],[Return_Status]]="Received","PASS","FAIL"))</f>
        <v>PASS</v>
      </c>
      <c r="X26" t="str">
        <f>IF(rec_Refunds[[#This Row],[Payment_Status]]="Success","PASS","FAIL")</f>
        <v>PASS</v>
      </c>
      <c r="Y26" t="str">
        <f>IF(rec_Refunds[[#This Row],[R3_Payment_Success]]="FAIL","N/A",IF(rec_Refunds[[#This Row],[Refund_Amount]]&gt;rec_Refunds[[#This Row],[Amount_Paid]],"FAIL","PASS"))</f>
        <v>PASS</v>
      </c>
      <c r="Z26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26" t="str">
        <f>IF(rec_Refunds[[#This Row],[Return_Request_Date]]="","N/A",IF(rec_Refunds[[#This Row],[Return_Request_Date]]-rec_Refunds[[#This Row],[Order_Date]]&gt;30,"FAIL","PASS"))</f>
        <v>PASS</v>
      </c>
      <c r="AB26" t="str">
        <f>IF(rec_Refunds[[#This Row],[Return_Request_Date]]="","N/A",IF(rec_Refunds[[#This Row],[Return_Request_Date]]&lt;rec_Refunds[[#This Row],[Order_Date]],"CHECK","OK"))</f>
        <v>OK</v>
      </c>
      <c r="AC26">
        <f>COUNTIF(rec_Refunds[[#This Row],[R1_Has_Return]:[R6_Within_Window]],"FAIL")</f>
        <v>0</v>
      </c>
      <c r="AD26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26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26">
        <f>IF(rec_Refunds[[#This Row],[Exception_Type]]="None",0,1)</f>
        <v>0</v>
      </c>
      <c r="AG26" t="str">
        <f>TEXT(rec_Refunds[[#This Row],[Refund_Date]],"yyyy-mm")</f>
        <v>2026-05</v>
      </c>
    </row>
    <row r="27" spans="1:33">
      <c r="A27" t="s">
        <v>1352</v>
      </c>
      <c r="B27" t="s">
        <v>1242</v>
      </c>
      <c r="C27" t="s">
        <v>598</v>
      </c>
      <c r="D27" s="6">
        <v>46039</v>
      </c>
      <c r="E27">
        <v>3198</v>
      </c>
      <c r="F27" t="s">
        <v>1311</v>
      </c>
      <c r="G27" t="s">
        <v>1323</v>
      </c>
      <c r="H27" t="s">
        <v>1409</v>
      </c>
      <c r="I27" s="6">
        <v>46018</v>
      </c>
      <c r="J27" t="s">
        <v>1185</v>
      </c>
      <c r="K27" s="6">
        <v>46033</v>
      </c>
      <c r="L27" t="s">
        <v>1421</v>
      </c>
      <c r="M27" s="6">
        <v>46023</v>
      </c>
      <c r="N27" t="s">
        <v>30</v>
      </c>
      <c r="O27" t="s">
        <v>15</v>
      </c>
      <c r="P27" t="s">
        <v>162</v>
      </c>
      <c r="Q27">
        <v>3198</v>
      </c>
      <c r="R27" t="s">
        <v>17</v>
      </c>
      <c r="S27" t="s">
        <v>784</v>
      </c>
      <c r="T27" t="s">
        <v>782</v>
      </c>
      <c r="U27">
        <v>3198</v>
      </c>
      <c r="V27" t="str">
        <f>IF(rec_Refunds[[#This Row],[Return_Status]]="","FAIL","PASS")</f>
        <v>PASS</v>
      </c>
      <c r="W27" t="str">
        <f>IF(rec_Refunds[[#This Row],[Return_Status]]="","N/A",IF(rec_Refunds[[#This Row],[Return_Status]]="Received","PASS","FAIL"))</f>
        <v>PASS</v>
      </c>
      <c r="X27" t="str">
        <f>IF(rec_Refunds[[#This Row],[Payment_Status]]="Success","PASS","FAIL")</f>
        <v>PASS</v>
      </c>
      <c r="Y27" t="str">
        <f>IF(rec_Refunds[[#This Row],[R3_Payment_Success]]="FAIL","N/A",IF(rec_Refunds[[#This Row],[Refund_Amount]]&gt;rec_Refunds[[#This Row],[Amount_Paid]],"FAIL","PASS"))</f>
        <v>PASS</v>
      </c>
      <c r="Z27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27" t="str">
        <f>IF(rec_Refunds[[#This Row],[Return_Request_Date]]="","N/A",IF(rec_Refunds[[#This Row],[Return_Request_Date]]-rec_Refunds[[#This Row],[Order_Date]]&gt;30,"FAIL","PASS"))</f>
        <v>PASS</v>
      </c>
      <c r="AB27" t="str">
        <f>IF(rec_Refunds[[#This Row],[Return_Request_Date]]="","N/A",IF(rec_Refunds[[#This Row],[Return_Request_Date]]&lt;rec_Refunds[[#This Row],[Order_Date]],"CHECK","OK"))</f>
        <v>CHECK</v>
      </c>
      <c r="AC27">
        <f>COUNTIF(rec_Refunds[[#This Row],[R1_Has_Return]:[R6_Within_Window]],"FAIL")</f>
        <v>0</v>
      </c>
      <c r="AD27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27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27">
        <f>IF(rec_Refunds[[#This Row],[Exception_Type]]="None",0,1)</f>
        <v>0</v>
      </c>
      <c r="AG27" t="str">
        <f>TEXT(rec_Refunds[[#This Row],[Refund_Date]],"yyyy-mm")</f>
        <v>2026-01</v>
      </c>
    </row>
    <row r="28" spans="1:33">
      <c r="A28" t="s">
        <v>1310</v>
      </c>
      <c r="B28" t="s">
        <v>1183</v>
      </c>
      <c r="C28" t="s">
        <v>44</v>
      </c>
      <c r="D28" s="6">
        <v>46167</v>
      </c>
      <c r="E28">
        <v>499</v>
      </c>
      <c r="F28" t="s">
        <v>1311</v>
      </c>
      <c r="G28" t="s">
        <v>1312</v>
      </c>
      <c r="H28" t="s">
        <v>1409</v>
      </c>
      <c r="I28" s="6">
        <v>46155</v>
      </c>
      <c r="J28" t="s">
        <v>1185</v>
      </c>
      <c r="K28" s="6">
        <v>46162</v>
      </c>
      <c r="L28" t="s">
        <v>1419</v>
      </c>
      <c r="M28" s="6">
        <v>46132</v>
      </c>
      <c r="N28" t="s">
        <v>14</v>
      </c>
      <c r="O28" t="s">
        <v>47</v>
      </c>
      <c r="P28" t="s">
        <v>48</v>
      </c>
      <c r="Q28">
        <v>499</v>
      </c>
      <c r="R28" t="s">
        <v>17</v>
      </c>
      <c r="S28" t="s">
        <v>786</v>
      </c>
      <c r="T28" t="s">
        <v>782</v>
      </c>
      <c r="U28">
        <v>499</v>
      </c>
      <c r="V28" t="str">
        <f>IF(rec_Refunds[[#This Row],[Return_Status]]="","FAIL","PASS")</f>
        <v>PASS</v>
      </c>
      <c r="W28" t="str">
        <f>IF(rec_Refunds[[#This Row],[Return_Status]]="","N/A",IF(rec_Refunds[[#This Row],[Return_Status]]="Received","PASS","FAIL"))</f>
        <v>PASS</v>
      </c>
      <c r="X28" t="str">
        <f>IF(rec_Refunds[[#This Row],[Payment_Status]]="Success","PASS","FAIL")</f>
        <v>PASS</v>
      </c>
      <c r="Y28" t="str">
        <f>IF(rec_Refunds[[#This Row],[R3_Payment_Success]]="FAIL","N/A",IF(rec_Refunds[[#This Row],[Refund_Amount]]&gt;rec_Refunds[[#This Row],[Amount_Paid]],"FAIL","PASS"))</f>
        <v>PASS</v>
      </c>
      <c r="Z28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28" t="str">
        <f>IF(rec_Refunds[[#This Row],[Return_Request_Date]]="","N/A",IF(rec_Refunds[[#This Row],[Return_Request_Date]]-rec_Refunds[[#This Row],[Order_Date]]&gt;30,"FAIL","PASS"))</f>
        <v>PASS</v>
      </c>
      <c r="AB28" t="str">
        <f>IF(rec_Refunds[[#This Row],[Return_Request_Date]]="","N/A",IF(rec_Refunds[[#This Row],[Return_Request_Date]]&lt;rec_Refunds[[#This Row],[Order_Date]],"CHECK","OK"))</f>
        <v>OK</v>
      </c>
      <c r="AC28">
        <f>COUNTIF(rec_Refunds[[#This Row],[R1_Has_Return]:[R6_Within_Window]],"FAIL")</f>
        <v>0</v>
      </c>
      <c r="AD28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28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28">
        <f>IF(rec_Refunds[[#This Row],[Exception_Type]]="None",0,1)</f>
        <v>0</v>
      </c>
      <c r="AG28" t="str">
        <f>TEXT(rec_Refunds[[#This Row],[Refund_Date]],"yyyy-mm")</f>
        <v>2026-05</v>
      </c>
    </row>
    <row r="29" spans="1:33">
      <c r="A29" t="s">
        <v>1398</v>
      </c>
      <c r="B29" t="s">
        <v>1183</v>
      </c>
      <c r="C29" t="s">
        <v>44</v>
      </c>
      <c r="D29" s="6">
        <v>46168</v>
      </c>
      <c r="E29">
        <v>499</v>
      </c>
      <c r="F29" t="s">
        <v>1311</v>
      </c>
      <c r="G29" t="s">
        <v>1312</v>
      </c>
      <c r="H29" t="s">
        <v>1409</v>
      </c>
      <c r="I29" s="6">
        <v>46155</v>
      </c>
      <c r="J29" t="s">
        <v>1185</v>
      </c>
      <c r="K29" s="6">
        <v>46162</v>
      </c>
      <c r="L29" t="s">
        <v>1419</v>
      </c>
      <c r="M29" s="6">
        <v>46132</v>
      </c>
      <c r="N29" t="s">
        <v>14</v>
      </c>
      <c r="O29" t="s">
        <v>47</v>
      </c>
      <c r="P29" t="s">
        <v>48</v>
      </c>
      <c r="Q29">
        <v>499</v>
      </c>
      <c r="R29" t="s">
        <v>17</v>
      </c>
      <c r="S29" t="s">
        <v>786</v>
      </c>
      <c r="T29" t="s">
        <v>782</v>
      </c>
      <c r="U29">
        <v>499</v>
      </c>
      <c r="V29" t="str">
        <f>IF(rec_Refunds[[#This Row],[Return_Status]]="","FAIL","PASS")</f>
        <v>PASS</v>
      </c>
      <c r="W29" t="str">
        <f>IF(rec_Refunds[[#This Row],[Return_Status]]="","N/A",IF(rec_Refunds[[#This Row],[Return_Status]]="Received","PASS","FAIL"))</f>
        <v>PASS</v>
      </c>
      <c r="X29" t="str">
        <f>IF(rec_Refunds[[#This Row],[Payment_Status]]="Success","PASS","FAIL")</f>
        <v>PASS</v>
      </c>
      <c r="Y29" t="str">
        <f>IF(rec_Refunds[[#This Row],[R3_Payment_Success]]="FAIL","N/A",IF(rec_Refunds[[#This Row],[Refund_Amount]]&gt;rec_Refunds[[#This Row],[Amount_Paid]],"FAIL","PASS"))</f>
        <v>PASS</v>
      </c>
      <c r="Z29" t="str">
        <f>IF(rec_Refunds[[#This Row],[Return_ID]]="","N/A",IF(COUNTIFS(rec_Refunds[Return_ID],rec_Refunds[[#This Row],[Return_ID]],rec_Refunds[Refund_Date],"&lt;"&amp;rec_Refunds[[#This Row],[Refund_Date]])&gt;0,"FAIL","PASS"))</f>
        <v>FAIL</v>
      </c>
      <c r="AA29" t="str">
        <f>IF(rec_Refunds[[#This Row],[Return_Request_Date]]="","N/A",IF(rec_Refunds[[#This Row],[Return_Request_Date]]-rec_Refunds[[#This Row],[Order_Date]]&gt;30,"FAIL","PASS"))</f>
        <v>PASS</v>
      </c>
      <c r="AB29" t="str">
        <f>IF(rec_Refunds[[#This Row],[Return_Request_Date]]="","N/A",IF(rec_Refunds[[#This Row],[Return_Request_Date]]&lt;rec_Refunds[[#This Row],[Order_Date]],"CHECK","OK"))</f>
        <v>OK</v>
      </c>
      <c r="AC29">
        <f>COUNTIF(rec_Refunds[[#This Row],[R1_Has_Return]:[R6_Within_Window]],"FAIL")</f>
        <v>1</v>
      </c>
      <c r="AD29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R5 Duplicate refund</v>
      </c>
      <c r="AE29">
        <f>IF(rec_Refunds[[#This Row],[Exception_Type]]="None",0,IF(LEFT(rec_Refunds[[#This Row],[Exception_Type]],2)="R4",rec_Refunds[[#This Row],[Refund_Amount]]-rec_Refunds[[#This Row],[Amount_Paid]],rec_Refunds[[#This Row],[Refund_Amount]]))</f>
        <v>499</v>
      </c>
      <c r="AF29">
        <f>IF(rec_Refunds[[#This Row],[Exception_Type]]="None",0,1)</f>
        <v>1</v>
      </c>
      <c r="AG29" t="str">
        <f>TEXT(rec_Refunds[[#This Row],[Refund_Date]],"yyyy-mm")</f>
        <v>2026-05</v>
      </c>
    </row>
    <row r="30" spans="1:33">
      <c r="A30" t="s">
        <v>1338</v>
      </c>
      <c r="B30" t="s">
        <v>1219</v>
      </c>
      <c r="C30" t="s">
        <v>101</v>
      </c>
      <c r="D30" s="6">
        <v>46164</v>
      </c>
      <c r="E30">
        <v>1499</v>
      </c>
      <c r="F30" t="s">
        <v>1317</v>
      </c>
      <c r="G30" t="s">
        <v>1318</v>
      </c>
      <c r="H30" t="s">
        <v>1409</v>
      </c>
      <c r="I30" s="6">
        <v>46151</v>
      </c>
      <c r="J30" t="s">
        <v>1185</v>
      </c>
      <c r="K30" s="6">
        <v>46160</v>
      </c>
      <c r="L30" t="s">
        <v>1422</v>
      </c>
      <c r="M30" s="6">
        <v>46133</v>
      </c>
      <c r="N30" t="s">
        <v>104</v>
      </c>
      <c r="O30" t="s">
        <v>22</v>
      </c>
      <c r="P30" t="s">
        <v>43</v>
      </c>
      <c r="Q30">
        <v>1499</v>
      </c>
      <c r="R30" t="s">
        <v>17</v>
      </c>
      <c r="S30" t="s">
        <v>781</v>
      </c>
      <c r="T30" t="s">
        <v>782</v>
      </c>
      <c r="U30">
        <v>1499</v>
      </c>
      <c r="V30" t="str">
        <f>IF(rec_Refunds[[#This Row],[Return_Status]]="","FAIL","PASS")</f>
        <v>PASS</v>
      </c>
      <c r="W30" t="str">
        <f>IF(rec_Refunds[[#This Row],[Return_Status]]="","N/A",IF(rec_Refunds[[#This Row],[Return_Status]]="Received","PASS","FAIL"))</f>
        <v>PASS</v>
      </c>
      <c r="X30" t="str">
        <f>IF(rec_Refunds[[#This Row],[Payment_Status]]="Success","PASS","FAIL")</f>
        <v>PASS</v>
      </c>
      <c r="Y30" t="str">
        <f>IF(rec_Refunds[[#This Row],[R3_Payment_Success]]="FAIL","N/A",IF(rec_Refunds[[#This Row],[Refund_Amount]]&gt;rec_Refunds[[#This Row],[Amount_Paid]],"FAIL","PASS"))</f>
        <v>PASS</v>
      </c>
      <c r="Z30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30" t="str">
        <f>IF(rec_Refunds[[#This Row],[Return_Request_Date]]="","N/A",IF(rec_Refunds[[#This Row],[Return_Request_Date]]-rec_Refunds[[#This Row],[Order_Date]]&gt;30,"FAIL","PASS"))</f>
        <v>PASS</v>
      </c>
      <c r="AB30" t="str">
        <f>IF(rec_Refunds[[#This Row],[Return_Request_Date]]="","N/A",IF(rec_Refunds[[#This Row],[Return_Request_Date]]&lt;rec_Refunds[[#This Row],[Order_Date]],"CHECK","OK"))</f>
        <v>OK</v>
      </c>
      <c r="AC30">
        <f>COUNTIF(rec_Refunds[[#This Row],[R1_Has_Return]:[R6_Within_Window]],"FAIL")</f>
        <v>0</v>
      </c>
      <c r="AD30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30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30">
        <f>IF(rec_Refunds[[#This Row],[Exception_Type]]="None",0,1)</f>
        <v>0</v>
      </c>
      <c r="AG30" t="str">
        <f>TEXT(rec_Refunds[[#This Row],[Refund_Date]],"yyyy-mm")</f>
        <v>2026-05</v>
      </c>
    </row>
    <row r="31" spans="1:33">
      <c r="A31" t="s">
        <v>1374</v>
      </c>
      <c r="B31" t="s">
        <v>1271</v>
      </c>
      <c r="C31" t="s">
        <v>715</v>
      </c>
      <c r="D31" s="6">
        <v>46176</v>
      </c>
      <c r="E31">
        <v>599</v>
      </c>
      <c r="F31" t="s">
        <v>1311</v>
      </c>
      <c r="G31" t="s">
        <v>1320</v>
      </c>
      <c r="H31" t="s">
        <v>1409</v>
      </c>
      <c r="I31" s="6">
        <v>46167</v>
      </c>
      <c r="J31" t="s">
        <v>1185</v>
      </c>
      <c r="K31" s="6">
        <v>46175</v>
      </c>
      <c r="L31" t="s">
        <v>1419</v>
      </c>
      <c r="M31" s="6">
        <v>46143</v>
      </c>
      <c r="N31" t="s">
        <v>21</v>
      </c>
      <c r="O31" t="s">
        <v>22</v>
      </c>
      <c r="P31" t="s">
        <v>138</v>
      </c>
      <c r="Q31">
        <v>599</v>
      </c>
      <c r="R31" t="s">
        <v>17</v>
      </c>
      <c r="S31" t="s">
        <v>790</v>
      </c>
      <c r="T31" t="s">
        <v>782</v>
      </c>
      <c r="U31">
        <v>599</v>
      </c>
      <c r="V31" t="str">
        <f>IF(rec_Refunds[[#This Row],[Return_Status]]="","FAIL","PASS")</f>
        <v>PASS</v>
      </c>
      <c r="W31" t="str">
        <f>IF(rec_Refunds[[#This Row],[Return_Status]]="","N/A",IF(rec_Refunds[[#This Row],[Return_Status]]="Received","PASS","FAIL"))</f>
        <v>PASS</v>
      </c>
      <c r="X31" t="str">
        <f>IF(rec_Refunds[[#This Row],[Payment_Status]]="Success","PASS","FAIL")</f>
        <v>PASS</v>
      </c>
      <c r="Y31" t="str">
        <f>IF(rec_Refunds[[#This Row],[R3_Payment_Success]]="FAIL","N/A",IF(rec_Refunds[[#This Row],[Refund_Amount]]&gt;rec_Refunds[[#This Row],[Amount_Paid]],"FAIL","PASS"))</f>
        <v>PASS</v>
      </c>
      <c r="Z31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31" t="str">
        <f>IF(rec_Refunds[[#This Row],[Return_Request_Date]]="","N/A",IF(rec_Refunds[[#This Row],[Return_Request_Date]]-rec_Refunds[[#This Row],[Order_Date]]&gt;30,"FAIL","PASS"))</f>
        <v>PASS</v>
      </c>
      <c r="AB31" t="str">
        <f>IF(rec_Refunds[[#This Row],[Return_Request_Date]]="","N/A",IF(rec_Refunds[[#This Row],[Return_Request_Date]]&lt;rec_Refunds[[#This Row],[Order_Date]],"CHECK","OK"))</f>
        <v>OK</v>
      </c>
      <c r="AC31">
        <f>COUNTIF(rec_Refunds[[#This Row],[R1_Has_Return]:[R6_Within_Window]],"FAIL")</f>
        <v>0</v>
      </c>
      <c r="AD31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31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31">
        <f>IF(rec_Refunds[[#This Row],[Exception_Type]]="None",0,1)</f>
        <v>0</v>
      </c>
      <c r="AG31" t="str">
        <f>TEXT(rec_Refunds[[#This Row],[Refund_Date]],"yyyy-mm")</f>
        <v>2026-06</v>
      </c>
    </row>
    <row r="32" spans="1:33">
      <c r="A32" t="s">
        <v>1373</v>
      </c>
      <c r="B32" t="s">
        <v>1269</v>
      </c>
      <c r="C32" t="s">
        <v>206</v>
      </c>
      <c r="D32" s="6">
        <v>46203</v>
      </c>
      <c r="E32">
        <v>1499</v>
      </c>
      <c r="F32" t="s">
        <v>1311</v>
      </c>
      <c r="G32" t="s">
        <v>1318</v>
      </c>
      <c r="H32" t="s">
        <v>1409</v>
      </c>
      <c r="I32" s="6">
        <v>46190</v>
      </c>
      <c r="J32" t="s">
        <v>1185</v>
      </c>
      <c r="K32" s="6">
        <v>46199</v>
      </c>
      <c r="L32" t="s">
        <v>1203</v>
      </c>
      <c r="M32" s="6">
        <v>46174</v>
      </c>
      <c r="N32" t="s">
        <v>64</v>
      </c>
      <c r="O32" t="s">
        <v>22</v>
      </c>
      <c r="P32" t="s">
        <v>43</v>
      </c>
      <c r="Q32">
        <v>1499</v>
      </c>
      <c r="R32" t="s">
        <v>17</v>
      </c>
      <c r="S32" t="s">
        <v>784</v>
      </c>
      <c r="T32" t="s">
        <v>782</v>
      </c>
      <c r="U32">
        <v>1499</v>
      </c>
      <c r="V32" t="str">
        <f>IF(rec_Refunds[[#This Row],[Return_Status]]="","FAIL","PASS")</f>
        <v>PASS</v>
      </c>
      <c r="W32" t="str">
        <f>IF(rec_Refunds[[#This Row],[Return_Status]]="","N/A",IF(rec_Refunds[[#This Row],[Return_Status]]="Received","PASS","FAIL"))</f>
        <v>PASS</v>
      </c>
      <c r="X32" t="str">
        <f>IF(rec_Refunds[[#This Row],[Payment_Status]]="Success","PASS","FAIL")</f>
        <v>PASS</v>
      </c>
      <c r="Y32" t="str">
        <f>IF(rec_Refunds[[#This Row],[R3_Payment_Success]]="FAIL","N/A",IF(rec_Refunds[[#This Row],[Refund_Amount]]&gt;rec_Refunds[[#This Row],[Amount_Paid]],"FAIL","PASS"))</f>
        <v>PASS</v>
      </c>
      <c r="Z32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32" t="str">
        <f>IF(rec_Refunds[[#This Row],[Return_Request_Date]]="","N/A",IF(rec_Refunds[[#This Row],[Return_Request_Date]]-rec_Refunds[[#This Row],[Order_Date]]&gt;30,"FAIL","PASS"))</f>
        <v>PASS</v>
      </c>
      <c r="AB32" t="str">
        <f>IF(rec_Refunds[[#This Row],[Return_Request_Date]]="","N/A",IF(rec_Refunds[[#This Row],[Return_Request_Date]]&lt;rec_Refunds[[#This Row],[Order_Date]],"CHECK","OK"))</f>
        <v>OK</v>
      </c>
      <c r="AC32">
        <f>COUNTIF(rec_Refunds[[#This Row],[R1_Has_Return]:[R6_Within_Window]],"FAIL")</f>
        <v>0</v>
      </c>
      <c r="AD32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32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32">
        <f>IF(rec_Refunds[[#This Row],[Exception_Type]]="None",0,1)</f>
        <v>0</v>
      </c>
      <c r="AG32" t="str">
        <f>TEXT(rec_Refunds[[#This Row],[Refund_Date]],"yyyy-mm")</f>
        <v>2026-06</v>
      </c>
    </row>
    <row r="33" spans="1:33">
      <c r="A33" t="s">
        <v>1364</v>
      </c>
      <c r="B33" t="s">
        <v>1257</v>
      </c>
      <c r="C33" t="s">
        <v>246</v>
      </c>
      <c r="D33" s="6">
        <v>46213</v>
      </c>
      <c r="E33">
        <v>2398</v>
      </c>
      <c r="F33" t="s">
        <v>1317</v>
      </c>
      <c r="G33" t="s">
        <v>1323</v>
      </c>
      <c r="H33" t="s">
        <v>1409</v>
      </c>
      <c r="I33" s="6">
        <v>46206</v>
      </c>
      <c r="J33" t="s">
        <v>1185</v>
      </c>
      <c r="K33" s="6">
        <v>46212</v>
      </c>
      <c r="L33" t="s">
        <v>1420</v>
      </c>
      <c r="M33" s="6">
        <v>46202</v>
      </c>
      <c r="N33" t="s">
        <v>21</v>
      </c>
      <c r="O33" t="s">
        <v>47</v>
      </c>
      <c r="P33" t="s">
        <v>128</v>
      </c>
      <c r="Q33">
        <v>2398</v>
      </c>
      <c r="R33" t="s">
        <v>17</v>
      </c>
      <c r="S33" t="s">
        <v>790</v>
      </c>
      <c r="T33" t="s">
        <v>782</v>
      </c>
      <c r="U33">
        <v>2398</v>
      </c>
      <c r="V33" t="str">
        <f>IF(rec_Refunds[[#This Row],[Return_Status]]="","FAIL","PASS")</f>
        <v>PASS</v>
      </c>
      <c r="W33" t="str">
        <f>IF(rec_Refunds[[#This Row],[Return_Status]]="","N/A",IF(rec_Refunds[[#This Row],[Return_Status]]="Received","PASS","FAIL"))</f>
        <v>PASS</v>
      </c>
      <c r="X33" t="str">
        <f>IF(rec_Refunds[[#This Row],[Payment_Status]]="Success","PASS","FAIL")</f>
        <v>PASS</v>
      </c>
      <c r="Y33" t="str">
        <f>IF(rec_Refunds[[#This Row],[R3_Payment_Success]]="FAIL","N/A",IF(rec_Refunds[[#This Row],[Refund_Amount]]&gt;rec_Refunds[[#This Row],[Amount_Paid]],"FAIL","PASS"))</f>
        <v>PASS</v>
      </c>
      <c r="Z33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33" t="str">
        <f>IF(rec_Refunds[[#This Row],[Return_Request_Date]]="","N/A",IF(rec_Refunds[[#This Row],[Return_Request_Date]]-rec_Refunds[[#This Row],[Order_Date]]&gt;30,"FAIL","PASS"))</f>
        <v>PASS</v>
      </c>
      <c r="AB33" t="str">
        <f>IF(rec_Refunds[[#This Row],[Return_Request_Date]]="","N/A",IF(rec_Refunds[[#This Row],[Return_Request_Date]]&lt;rec_Refunds[[#This Row],[Order_Date]],"CHECK","OK"))</f>
        <v>OK</v>
      </c>
      <c r="AC33">
        <f>COUNTIF(rec_Refunds[[#This Row],[R1_Has_Return]:[R6_Within_Window]],"FAIL")</f>
        <v>0</v>
      </c>
      <c r="AD33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33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33">
        <f>IF(rec_Refunds[[#This Row],[Exception_Type]]="None",0,1)</f>
        <v>0</v>
      </c>
      <c r="AG33" t="str">
        <f>TEXT(rec_Refunds[[#This Row],[Refund_Date]],"yyyy-mm")</f>
        <v>2026-07</v>
      </c>
    </row>
    <row r="34" spans="1:33">
      <c r="A34" t="s">
        <v>1346</v>
      </c>
      <c r="B34" t="s">
        <v>1235</v>
      </c>
      <c r="C34" t="s">
        <v>573</v>
      </c>
      <c r="D34" s="6">
        <v>46068</v>
      </c>
      <c r="E34">
        <v>11997</v>
      </c>
      <c r="F34" t="s">
        <v>1311</v>
      </c>
      <c r="G34" t="s">
        <v>1323</v>
      </c>
      <c r="H34" t="s">
        <v>1409</v>
      </c>
      <c r="I34" s="6">
        <v>46060</v>
      </c>
      <c r="J34" t="s">
        <v>1185</v>
      </c>
      <c r="K34" s="6">
        <v>46063</v>
      </c>
      <c r="L34" t="s">
        <v>1420</v>
      </c>
      <c r="M34" s="6">
        <v>46053</v>
      </c>
      <c r="N34" t="s">
        <v>104</v>
      </c>
      <c r="O34" t="s">
        <v>25</v>
      </c>
      <c r="P34" t="s">
        <v>115</v>
      </c>
      <c r="Q34">
        <v>11997</v>
      </c>
      <c r="R34" t="s">
        <v>17</v>
      </c>
      <c r="S34" t="s">
        <v>784</v>
      </c>
      <c r="T34" t="s">
        <v>782</v>
      </c>
      <c r="U34">
        <v>11997</v>
      </c>
      <c r="V34" t="str">
        <f>IF(rec_Refunds[[#This Row],[Return_Status]]="","FAIL","PASS")</f>
        <v>PASS</v>
      </c>
      <c r="W34" t="str">
        <f>IF(rec_Refunds[[#This Row],[Return_Status]]="","N/A",IF(rec_Refunds[[#This Row],[Return_Status]]="Received","PASS","FAIL"))</f>
        <v>PASS</v>
      </c>
      <c r="X34" t="str">
        <f>IF(rec_Refunds[[#This Row],[Payment_Status]]="Success","PASS","FAIL")</f>
        <v>PASS</v>
      </c>
      <c r="Y34" t="str">
        <f>IF(rec_Refunds[[#This Row],[R3_Payment_Success]]="FAIL","N/A",IF(rec_Refunds[[#This Row],[Refund_Amount]]&gt;rec_Refunds[[#This Row],[Amount_Paid]],"FAIL","PASS"))</f>
        <v>PASS</v>
      </c>
      <c r="Z34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34" t="str">
        <f>IF(rec_Refunds[[#This Row],[Return_Request_Date]]="","N/A",IF(rec_Refunds[[#This Row],[Return_Request_Date]]-rec_Refunds[[#This Row],[Order_Date]]&gt;30,"FAIL","PASS"))</f>
        <v>PASS</v>
      </c>
      <c r="AB34" t="str">
        <f>IF(rec_Refunds[[#This Row],[Return_Request_Date]]="","N/A",IF(rec_Refunds[[#This Row],[Return_Request_Date]]&lt;rec_Refunds[[#This Row],[Order_Date]],"CHECK","OK"))</f>
        <v>OK</v>
      </c>
      <c r="AC34">
        <f>COUNTIF(rec_Refunds[[#This Row],[R1_Has_Return]:[R6_Within_Window]],"FAIL")</f>
        <v>0</v>
      </c>
      <c r="AD34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34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34">
        <f>IF(rec_Refunds[[#This Row],[Exception_Type]]="None",0,1)</f>
        <v>0</v>
      </c>
      <c r="AG34" t="str">
        <f>TEXT(rec_Refunds[[#This Row],[Refund_Date]],"yyyy-mm")</f>
        <v>2026-02</v>
      </c>
    </row>
    <row r="35" spans="1:33">
      <c r="A35" t="s">
        <v>1365</v>
      </c>
      <c r="B35" t="s">
        <v>1259</v>
      </c>
      <c r="C35" t="s">
        <v>657</v>
      </c>
      <c r="D35" s="6">
        <v>46202</v>
      </c>
      <c r="E35">
        <v>1598</v>
      </c>
      <c r="F35" t="s">
        <v>1314</v>
      </c>
      <c r="G35" t="s">
        <v>1320</v>
      </c>
      <c r="H35" t="s">
        <v>1409</v>
      </c>
      <c r="I35" s="6">
        <v>46193</v>
      </c>
      <c r="J35" t="s">
        <v>1185</v>
      </c>
      <c r="K35" s="6">
        <v>46199</v>
      </c>
      <c r="L35" t="s">
        <v>1203</v>
      </c>
      <c r="M35" s="6">
        <v>46172</v>
      </c>
      <c r="N35" t="s">
        <v>1417</v>
      </c>
      <c r="O35" t="s">
        <v>36</v>
      </c>
      <c r="P35" t="s">
        <v>151</v>
      </c>
      <c r="Q35">
        <v>1598</v>
      </c>
      <c r="R35" t="s">
        <v>17</v>
      </c>
      <c r="S35" t="s">
        <v>790</v>
      </c>
      <c r="T35" t="s">
        <v>782</v>
      </c>
      <c r="U35">
        <v>1598</v>
      </c>
      <c r="V35" t="str">
        <f>IF(rec_Refunds[[#This Row],[Return_Status]]="","FAIL","PASS")</f>
        <v>PASS</v>
      </c>
      <c r="W35" t="str">
        <f>IF(rec_Refunds[[#This Row],[Return_Status]]="","N/A",IF(rec_Refunds[[#This Row],[Return_Status]]="Received","PASS","FAIL"))</f>
        <v>PASS</v>
      </c>
      <c r="X35" t="str">
        <f>IF(rec_Refunds[[#This Row],[Payment_Status]]="Success","PASS","FAIL")</f>
        <v>PASS</v>
      </c>
      <c r="Y35" t="str">
        <f>IF(rec_Refunds[[#This Row],[R3_Payment_Success]]="FAIL","N/A",IF(rec_Refunds[[#This Row],[Refund_Amount]]&gt;rec_Refunds[[#This Row],[Amount_Paid]],"FAIL","PASS"))</f>
        <v>PASS</v>
      </c>
      <c r="Z35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35" t="str">
        <f>IF(rec_Refunds[[#This Row],[Return_Request_Date]]="","N/A",IF(rec_Refunds[[#This Row],[Return_Request_Date]]-rec_Refunds[[#This Row],[Order_Date]]&gt;30,"FAIL","PASS"))</f>
        <v>PASS</v>
      </c>
      <c r="AB35" t="str">
        <f>IF(rec_Refunds[[#This Row],[Return_Request_Date]]="","N/A",IF(rec_Refunds[[#This Row],[Return_Request_Date]]&lt;rec_Refunds[[#This Row],[Order_Date]],"CHECK","OK"))</f>
        <v>OK</v>
      </c>
      <c r="AC35">
        <f>COUNTIF(rec_Refunds[[#This Row],[R1_Has_Return]:[R6_Within_Window]],"FAIL")</f>
        <v>0</v>
      </c>
      <c r="AD35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35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35">
        <f>IF(rec_Refunds[[#This Row],[Exception_Type]]="None",0,1)</f>
        <v>0</v>
      </c>
      <c r="AG35" t="str">
        <f>TEXT(rec_Refunds[[#This Row],[Refund_Date]],"yyyy-mm")</f>
        <v>2026-06</v>
      </c>
    </row>
    <row r="36" spans="1:33">
      <c r="A36" t="s">
        <v>1329</v>
      </c>
      <c r="B36" t="s">
        <v>1207</v>
      </c>
      <c r="C36" t="s">
        <v>254</v>
      </c>
      <c r="D36" s="6">
        <v>46214</v>
      </c>
      <c r="E36">
        <v>6397</v>
      </c>
      <c r="F36" t="s">
        <v>1317</v>
      </c>
      <c r="G36" t="s">
        <v>1323</v>
      </c>
      <c r="H36" t="s">
        <v>1409</v>
      </c>
      <c r="I36" s="6">
        <v>46207</v>
      </c>
      <c r="J36" t="s">
        <v>1185</v>
      </c>
      <c r="K36" s="6">
        <v>46212</v>
      </c>
      <c r="L36" t="s">
        <v>1423</v>
      </c>
      <c r="M36" s="6">
        <v>46202</v>
      </c>
      <c r="N36" t="s">
        <v>64</v>
      </c>
      <c r="O36" t="s">
        <v>47</v>
      </c>
      <c r="P36" t="s">
        <v>100</v>
      </c>
      <c r="Q36">
        <v>5598</v>
      </c>
      <c r="R36" t="s">
        <v>17</v>
      </c>
      <c r="S36" t="s">
        <v>784</v>
      </c>
      <c r="T36" t="s">
        <v>782</v>
      </c>
      <c r="U36">
        <v>5598</v>
      </c>
      <c r="V36" t="str">
        <f>IF(rec_Refunds[[#This Row],[Return_Status]]="","FAIL","PASS")</f>
        <v>PASS</v>
      </c>
      <c r="W36" t="str">
        <f>IF(rec_Refunds[[#This Row],[Return_Status]]="","N/A",IF(rec_Refunds[[#This Row],[Return_Status]]="Received","PASS","FAIL"))</f>
        <v>PASS</v>
      </c>
      <c r="X36" t="str">
        <f>IF(rec_Refunds[[#This Row],[Payment_Status]]="Success","PASS","FAIL")</f>
        <v>PASS</v>
      </c>
      <c r="Y36" t="str">
        <f>IF(rec_Refunds[[#This Row],[R3_Payment_Success]]="FAIL","N/A",IF(rec_Refunds[[#This Row],[Refund_Amount]]&gt;rec_Refunds[[#This Row],[Amount_Paid]],"FAIL","PASS"))</f>
        <v>FAIL</v>
      </c>
      <c r="Z36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36" t="str">
        <f>IF(rec_Refunds[[#This Row],[Return_Request_Date]]="","N/A",IF(rec_Refunds[[#This Row],[Return_Request_Date]]-rec_Refunds[[#This Row],[Order_Date]]&gt;30,"FAIL","PASS"))</f>
        <v>PASS</v>
      </c>
      <c r="AB36" t="str">
        <f>IF(rec_Refunds[[#This Row],[Return_Request_Date]]="","N/A",IF(rec_Refunds[[#This Row],[Return_Request_Date]]&lt;rec_Refunds[[#This Row],[Order_Date]],"CHECK","OK"))</f>
        <v>OK</v>
      </c>
      <c r="AC36">
        <f>COUNTIF(rec_Refunds[[#This Row],[R1_Has_Return]:[R6_Within_Window]],"FAIL")</f>
        <v>1</v>
      </c>
      <c r="AD36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R4 Refund exceeds payment</v>
      </c>
      <c r="AE36">
        <f>IF(rec_Refunds[[#This Row],[Exception_Type]]="None",0,IF(LEFT(rec_Refunds[[#This Row],[Exception_Type]],2)="R4",rec_Refunds[[#This Row],[Refund_Amount]]-rec_Refunds[[#This Row],[Amount_Paid]],rec_Refunds[[#This Row],[Refund_Amount]]))</f>
        <v>799</v>
      </c>
      <c r="AF36">
        <f>IF(rec_Refunds[[#This Row],[Exception_Type]]="None",0,1)</f>
        <v>1</v>
      </c>
      <c r="AG36" t="str">
        <f>TEXT(rec_Refunds[[#This Row],[Refund_Date]],"yyyy-mm")</f>
        <v>2026-07</v>
      </c>
    </row>
    <row r="37" spans="1:33">
      <c r="A37" t="s">
        <v>1351</v>
      </c>
      <c r="B37" t="s">
        <v>1241</v>
      </c>
      <c r="C37" t="s">
        <v>685</v>
      </c>
      <c r="D37" s="6">
        <v>46122</v>
      </c>
      <c r="E37">
        <v>2299</v>
      </c>
      <c r="F37" t="s">
        <v>1314</v>
      </c>
      <c r="G37" t="s">
        <v>1318</v>
      </c>
      <c r="H37" t="s">
        <v>1409</v>
      </c>
      <c r="I37" s="6">
        <v>46116</v>
      </c>
      <c r="J37" t="s">
        <v>1185</v>
      </c>
      <c r="K37" s="6">
        <v>46121</v>
      </c>
      <c r="L37" t="s">
        <v>1203</v>
      </c>
      <c r="M37" s="6">
        <v>46113</v>
      </c>
      <c r="N37" t="s">
        <v>30</v>
      </c>
      <c r="O37" t="s">
        <v>15</v>
      </c>
      <c r="P37" t="s">
        <v>16</v>
      </c>
      <c r="Q37">
        <v>1999</v>
      </c>
      <c r="R37" t="s">
        <v>17</v>
      </c>
      <c r="S37" t="s">
        <v>790</v>
      </c>
      <c r="T37" t="s">
        <v>782</v>
      </c>
      <c r="U37">
        <v>1999</v>
      </c>
      <c r="V37" t="str">
        <f>IF(rec_Refunds[[#This Row],[Return_Status]]="","FAIL","PASS")</f>
        <v>PASS</v>
      </c>
      <c r="W37" t="str">
        <f>IF(rec_Refunds[[#This Row],[Return_Status]]="","N/A",IF(rec_Refunds[[#This Row],[Return_Status]]="Received","PASS","FAIL"))</f>
        <v>PASS</v>
      </c>
      <c r="X37" t="str">
        <f>IF(rec_Refunds[[#This Row],[Payment_Status]]="Success","PASS","FAIL")</f>
        <v>PASS</v>
      </c>
      <c r="Y37" t="str">
        <f>IF(rec_Refunds[[#This Row],[R3_Payment_Success]]="FAIL","N/A",IF(rec_Refunds[[#This Row],[Refund_Amount]]&gt;rec_Refunds[[#This Row],[Amount_Paid]],"FAIL","PASS"))</f>
        <v>FAIL</v>
      </c>
      <c r="Z37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37" t="str">
        <f>IF(rec_Refunds[[#This Row],[Return_Request_Date]]="","N/A",IF(rec_Refunds[[#This Row],[Return_Request_Date]]-rec_Refunds[[#This Row],[Order_Date]]&gt;30,"FAIL","PASS"))</f>
        <v>PASS</v>
      </c>
      <c r="AB37" t="str">
        <f>IF(rec_Refunds[[#This Row],[Return_Request_Date]]="","N/A",IF(rec_Refunds[[#This Row],[Return_Request_Date]]&lt;rec_Refunds[[#This Row],[Order_Date]],"CHECK","OK"))</f>
        <v>OK</v>
      </c>
      <c r="AC37">
        <f>COUNTIF(rec_Refunds[[#This Row],[R1_Has_Return]:[R6_Within_Window]],"FAIL")</f>
        <v>1</v>
      </c>
      <c r="AD37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R4 Refund exceeds payment</v>
      </c>
      <c r="AE37">
        <f>IF(rec_Refunds[[#This Row],[Exception_Type]]="None",0,IF(LEFT(rec_Refunds[[#This Row],[Exception_Type]],2)="R4",rec_Refunds[[#This Row],[Refund_Amount]]-rec_Refunds[[#This Row],[Amount_Paid]],rec_Refunds[[#This Row],[Refund_Amount]]))</f>
        <v>300</v>
      </c>
      <c r="AF37">
        <f>IF(rec_Refunds[[#This Row],[Exception_Type]]="None",0,1)</f>
        <v>1</v>
      </c>
      <c r="AG37" t="str">
        <f>TEXT(rec_Refunds[[#This Row],[Refund_Date]],"yyyy-mm")</f>
        <v>2026-04</v>
      </c>
    </row>
    <row r="38" spans="1:33">
      <c r="A38" t="s">
        <v>1363</v>
      </c>
      <c r="B38" t="s">
        <v>1256</v>
      </c>
      <c r="C38" t="s">
        <v>287</v>
      </c>
      <c r="D38" s="6">
        <v>46211</v>
      </c>
      <c r="E38">
        <v>1999</v>
      </c>
      <c r="F38" t="s">
        <v>1311</v>
      </c>
      <c r="G38" t="s">
        <v>1312</v>
      </c>
      <c r="H38" t="s">
        <v>1409</v>
      </c>
      <c r="I38" s="6">
        <v>46197</v>
      </c>
      <c r="J38" t="s">
        <v>1185</v>
      </c>
      <c r="K38" s="6">
        <v>46206</v>
      </c>
      <c r="L38" t="s">
        <v>1420</v>
      </c>
      <c r="M38" s="6">
        <v>46173</v>
      </c>
      <c r="N38" t="s">
        <v>14</v>
      </c>
      <c r="O38" t="s">
        <v>15</v>
      </c>
      <c r="P38" t="s">
        <v>16</v>
      </c>
      <c r="Q38">
        <v>1999</v>
      </c>
      <c r="R38" t="s">
        <v>17</v>
      </c>
      <c r="S38" t="s">
        <v>790</v>
      </c>
      <c r="T38" t="s">
        <v>792</v>
      </c>
      <c r="U38">
        <v>1999</v>
      </c>
      <c r="V38" t="str">
        <f>IF(rec_Refunds[[#This Row],[Return_Status]]="","FAIL","PASS")</f>
        <v>PASS</v>
      </c>
      <c r="W38" t="str">
        <f>IF(rec_Refunds[[#This Row],[Return_Status]]="","N/A",IF(rec_Refunds[[#This Row],[Return_Status]]="Received","PASS","FAIL"))</f>
        <v>PASS</v>
      </c>
      <c r="X38" t="str">
        <f>IF(rec_Refunds[[#This Row],[Payment_Status]]="Success","PASS","FAIL")</f>
        <v>FAIL</v>
      </c>
      <c r="Y38" t="str">
        <f>IF(rec_Refunds[[#This Row],[R3_Payment_Success]]="FAIL","N/A",IF(rec_Refunds[[#This Row],[Refund_Amount]]&gt;rec_Refunds[[#This Row],[Amount_Paid]],"FAIL","PASS"))</f>
        <v>N/A</v>
      </c>
      <c r="Z38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38" t="str">
        <f>IF(rec_Refunds[[#This Row],[Return_Request_Date]]="","N/A",IF(rec_Refunds[[#This Row],[Return_Request_Date]]-rec_Refunds[[#This Row],[Order_Date]]&gt;30,"FAIL","PASS"))</f>
        <v>PASS</v>
      </c>
      <c r="AB38" t="str">
        <f>IF(rec_Refunds[[#This Row],[Return_Request_Date]]="","N/A",IF(rec_Refunds[[#This Row],[Return_Request_Date]]&lt;rec_Refunds[[#This Row],[Order_Date]],"CHECK","OK"))</f>
        <v>OK</v>
      </c>
      <c r="AC38">
        <f>COUNTIF(rec_Refunds[[#This Row],[R1_Has_Return]:[R6_Within_Window]],"FAIL")</f>
        <v>1</v>
      </c>
      <c r="AD38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R3 Order not paid</v>
      </c>
      <c r="AE38">
        <f>IF(rec_Refunds[[#This Row],[Exception_Type]]="None",0,IF(LEFT(rec_Refunds[[#This Row],[Exception_Type]],2)="R4",rec_Refunds[[#This Row],[Refund_Amount]]-rec_Refunds[[#This Row],[Amount_Paid]],rec_Refunds[[#This Row],[Refund_Amount]]))</f>
        <v>1999</v>
      </c>
      <c r="AF38">
        <f>IF(rec_Refunds[[#This Row],[Exception_Type]]="None",0,1)</f>
        <v>1</v>
      </c>
      <c r="AG38" t="str">
        <f>TEXT(rec_Refunds[[#This Row],[Refund_Date]],"yyyy-mm")</f>
        <v>2026-07</v>
      </c>
    </row>
    <row r="39" spans="1:33">
      <c r="A39" t="s">
        <v>1387</v>
      </c>
      <c r="B39" t="s">
        <v>1298</v>
      </c>
      <c r="C39" t="s">
        <v>622</v>
      </c>
      <c r="D39" s="6">
        <v>46109</v>
      </c>
      <c r="E39">
        <v>5598</v>
      </c>
      <c r="F39" t="s">
        <v>1317</v>
      </c>
      <c r="G39" t="s">
        <v>1312</v>
      </c>
      <c r="H39" t="s">
        <v>1409</v>
      </c>
      <c r="I39" s="6">
        <v>46098</v>
      </c>
      <c r="J39" t="s">
        <v>1185</v>
      </c>
      <c r="K39" s="6">
        <v>46107</v>
      </c>
      <c r="L39" t="s">
        <v>1421</v>
      </c>
      <c r="M39" s="6">
        <v>46088</v>
      </c>
      <c r="N39" t="s">
        <v>217</v>
      </c>
      <c r="O39" t="s">
        <v>47</v>
      </c>
      <c r="P39" t="s">
        <v>100</v>
      </c>
      <c r="Q39">
        <v>5598</v>
      </c>
      <c r="R39" t="s">
        <v>17</v>
      </c>
      <c r="S39" t="s">
        <v>790</v>
      </c>
      <c r="T39" t="s">
        <v>782</v>
      </c>
      <c r="U39">
        <v>5598</v>
      </c>
      <c r="V39" t="str">
        <f>IF(rec_Refunds[[#This Row],[Return_Status]]="","FAIL","PASS")</f>
        <v>PASS</v>
      </c>
      <c r="W39" t="str">
        <f>IF(rec_Refunds[[#This Row],[Return_Status]]="","N/A",IF(rec_Refunds[[#This Row],[Return_Status]]="Received","PASS","FAIL"))</f>
        <v>PASS</v>
      </c>
      <c r="X39" t="str">
        <f>IF(rec_Refunds[[#This Row],[Payment_Status]]="Success","PASS","FAIL")</f>
        <v>PASS</v>
      </c>
      <c r="Y39" t="str">
        <f>IF(rec_Refunds[[#This Row],[R3_Payment_Success]]="FAIL","N/A",IF(rec_Refunds[[#This Row],[Refund_Amount]]&gt;rec_Refunds[[#This Row],[Amount_Paid]],"FAIL","PASS"))</f>
        <v>PASS</v>
      </c>
      <c r="Z39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39" t="str">
        <f>IF(rec_Refunds[[#This Row],[Return_Request_Date]]="","N/A",IF(rec_Refunds[[#This Row],[Return_Request_Date]]-rec_Refunds[[#This Row],[Order_Date]]&gt;30,"FAIL","PASS"))</f>
        <v>PASS</v>
      </c>
      <c r="AB39" t="str">
        <f>IF(rec_Refunds[[#This Row],[Return_Request_Date]]="","N/A",IF(rec_Refunds[[#This Row],[Return_Request_Date]]&lt;rec_Refunds[[#This Row],[Order_Date]],"CHECK","OK"))</f>
        <v>OK</v>
      </c>
      <c r="AC39">
        <f>COUNTIF(rec_Refunds[[#This Row],[R1_Has_Return]:[R6_Within_Window]],"FAIL")</f>
        <v>0</v>
      </c>
      <c r="AD39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39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39">
        <f>IF(rec_Refunds[[#This Row],[Exception_Type]]="None",0,1)</f>
        <v>0</v>
      </c>
      <c r="AG39" t="str">
        <f>TEXT(rec_Refunds[[#This Row],[Refund_Date]],"yyyy-mm")</f>
        <v>2026-03</v>
      </c>
    </row>
    <row r="40" spans="1:33">
      <c r="A40" t="s">
        <v>1376</v>
      </c>
      <c r="B40" t="s">
        <v>1279</v>
      </c>
      <c r="C40" t="s">
        <v>608</v>
      </c>
      <c r="D40" s="6">
        <v>46192</v>
      </c>
      <c r="E40">
        <v>799</v>
      </c>
      <c r="F40" t="s">
        <v>1311</v>
      </c>
      <c r="G40" t="s">
        <v>1323</v>
      </c>
      <c r="H40" t="s">
        <v>1409</v>
      </c>
      <c r="I40" s="6">
        <v>46183</v>
      </c>
      <c r="J40" t="s">
        <v>1185</v>
      </c>
      <c r="K40" s="6">
        <v>46189</v>
      </c>
      <c r="L40" t="s">
        <v>1421</v>
      </c>
      <c r="M40" s="6">
        <v>46162</v>
      </c>
      <c r="N40" t="s">
        <v>21</v>
      </c>
      <c r="O40" t="s">
        <v>36</v>
      </c>
      <c r="P40" t="s">
        <v>151</v>
      </c>
      <c r="Q40">
        <v>799</v>
      </c>
      <c r="R40" t="s">
        <v>17</v>
      </c>
      <c r="S40" t="s">
        <v>790</v>
      </c>
      <c r="T40" t="s">
        <v>782</v>
      </c>
      <c r="U40">
        <v>799</v>
      </c>
      <c r="V40" t="str">
        <f>IF(rec_Refunds[[#This Row],[Return_Status]]="","FAIL","PASS")</f>
        <v>PASS</v>
      </c>
      <c r="W40" t="str">
        <f>IF(rec_Refunds[[#This Row],[Return_Status]]="","N/A",IF(rec_Refunds[[#This Row],[Return_Status]]="Received","PASS","FAIL"))</f>
        <v>PASS</v>
      </c>
      <c r="X40" t="str">
        <f>IF(rec_Refunds[[#This Row],[Payment_Status]]="Success","PASS","FAIL")</f>
        <v>PASS</v>
      </c>
      <c r="Y40" t="str">
        <f>IF(rec_Refunds[[#This Row],[R3_Payment_Success]]="FAIL","N/A",IF(rec_Refunds[[#This Row],[Refund_Amount]]&gt;rec_Refunds[[#This Row],[Amount_Paid]],"FAIL","PASS"))</f>
        <v>PASS</v>
      </c>
      <c r="Z40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40" t="str">
        <f>IF(rec_Refunds[[#This Row],[Return_Request_Date]]="","N/A",IF(rec_Refunds[[#This Row],[Return_Request_Date]]-rec_Refunds[[#This Row],[Order_Date]]&gt;30,"FAIL","PASS"))</f>
        <v>PASS</v>
      </c>
      <c r="AB40" t="str">
        <f>IF(rec_Refunds[[#This Row],[Return_Request_Date]]="","N/A",IF(rec_Refunds[[#This Row],[Return_Request_Date]]&lt;rec_Refunds[[#This Row],[Order_Date]],"CHECK","OK"))</f>
        <v>OK</v>
      </c>
      <c r="AC40">
        <f>COUNTIF(rec_Refunds[[#This Row],[R1_Has_Return]:[R6_Within_Window]],"FAIL")</f>
        <v>0</v>
      </c>
      <c r="AD40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40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40">
        <f>IF(rec_Refunds[[#This Row],[Exception_Type]]="None",0,1)</f>
        <v>0</v>
      </c>
      <c r="AG40" t="str">
        <f>TEXT(rec_Refunds[[#This Row],[Refund_Date]],"yyyy-mm")</f>
        <v>2026-06</v>
      </c>
    </row>
    <row r="41" spans="1:33">
      <c r="A41" t="s">
        <v>1366</v>
      </c>
      <c r="B41" t="s">
        <v>1260</v>
      </c>
      <c r="C41" t="s">
        <v>129</v>
      </c>
      <c r="D41" s="6">
        <v>46144</v>
      </c>
      <c r="E41">
        <v>1799</v>
      </c>
      <c r="F41" t="s">
        <v>1317</v>
      </c>
      <c r="G41" t="s">
        <v>1312</v>
      </c>
      <c r="H41" t="s">
        <v>1409</v>
      </c>
      <c r="I41" s="6">
        <v>46133</v>
      </c>
      <c r="J41" t="s">
        <v>1185</v>
      </c>
      <c r="K41" s="6">
        <v>46138</v>
      </c>
      <c r="L41" t="s">
        <v>1423</v>
      </c>
      <c r="M41" s="6">
        <v>46111</v>
      </c>
      <c r="N41" t="s">
        <v>30</v>
      </c>
      <c r="O41" t="s">
        <v>25</v>
      </c>
      <c r="P41" t="s">
        <v>31</v>
      </c>
      <c r="Q41">
        <v>1799</v>
      </c>
      <c r="R41" t="s">
        <v>17</v>
      </c>
      <c r="S41" t="s">
        <v>781</v>
      </c>
      <c r="T41" t="s">
        <v>782</v>
      </c>
      <c r="U41">
        <v>1799</v>
      </c>
      <c r="V41" t="str">
        <f>IF(rec_Refunds[[#This Row],[Return_Status]]="","FAIL","PASS")</f>
        <v>PASS</v>
      </c>
      <c r="W41" t="str">
        <f>IF(rec_Refunds[[#This Row],[Return_Status]]="","N/A",IF(rec_Refunds[[#This Row],[Return_Status]]="Received","PASS","FAIL"))</f>
        <v>PASS</v>
      </c>
      <c r="X41" t="str">
        <f>IF(rec_Refunds[[#This Row],[Payment_Status]]="Success","PASS","FAIL")</f>
        <v>PASS</v>
      </c>
      <c r="Y41" t="str">
        <f>IF(rec_Refunds[[#This Row],[R3_Payment_Success]]="FAIL","N/A",IF(rec_Refunds[[#This Row],[Refund_Amount]]&gt;rec_Refunds[[#This Row],[Amount_Paid]],"FAIL","PASS"))</f>
        <v>PASS</v>
      </c>
      <c r="Z41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41" t="str">
        <f>IF(rec_Refunds[[#This Row],[Return_Request_Date]]="","N/A",IF(rec_Refunds[[#This Row],[Return_Request_Date]]-rec_Refunds[[#This Row],[Order_Date]]&gt;30,"FAIL","PASS"))</f>
        <v>PASS</v>
      </c>
      <c r="AB41" t="str">
        <f>IF(rec_Refunds[[#This Row],[Return_Request_Date]]="","N/A",IF(rec_Refunds[[#This Row],[Return_Request_Date]]&lt;rec_Refunds[[#This Row],[Order_Date]],"CHECK","OK"))</f>
        <v>OK</v>
      </c>
      <c r="AC41">
        <f>COUNTIF(rec_Refunds[[#This Row],[R1_Has_Return]:[R6_Within_Window]],"FAIL")</f>
        <v>0</v>
      </c>
      <c r="AD41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41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41">
        <f>IF(rec_Refunds[[#This Row],[Exception_Type]]="None",0,1)</f>
        <v>0</v>
      </c>
      <c r="AG41" t="str">
        <f>TEXT(rec_Refunds[[#This Row],[Refund_Date]],"yyyy-mm")</f>
        <v>2026-05</v>
      </c>
    </row>
    <row r="42" spans="1:33">
      <c r="A42" t="s">
        <v>1354</v>
      </c>
      <c r="B42" t="s">
        <v>1244</v>
      </c>
      <c r="C42" t="s">
        <v>556</v>
      </c>
      <c r="D42" s="6">
        <v>46152</v>
      </c>
      <c r="E42">
        <v>1998</v>
      </c>
      <c r="F42" t="s">
        <v>1314</v>
      </c>
      <c r="G42" t="s">
        <v>1323</v>
      </c>
      <c r="H42" t="s">
        <v>1409</v>
      </c>
      <c r="I42" s="6">
        <v>46146</v>
      </c>
      <c r="J42" t="s">
        <v>1185</v>
      </c>
      <c r="K42" s="6">
        <v>46151</v>
      </c>
      <c r="L42" t="s">
        <v>1421</v>
      </c>
      <c r="M42" s="6">
        <v>46133</v>
      </c>
      <c r="N42" t="s">
        <v>30</v>
      </c>
      <c r="O42" t="s">
        <v>36</v>
      </c>
      <c r="P42" t="s">
        <v>141</v>
      </c>
      <c r="Q42">
        <v>1998</v>
      </c>
      <c r="R42" t="s">
        <v>17</v>
      </c>
      <c r="S42" t="s">
        <v>788</v>
      </c>
      <c r="T42" t="s">
        <v>782</v>
      </c>
      <c r="U42">
        <v>1998</v>
      </c>
      <c r="V42" t="str">
        <f>IF(rec_Refunds[[#This Row],[Return_Status]]="","FAIL","PASS")</f>
        <v>PASS</v>
      </c>
      <c r="W42" t="str">
        <f>IF(rec_Refunds[[#This Row],[Return_Status]]="","N/A",IF(rec_Refunds[[#This Row],[Return_Status]]="Received","PASS","FAIL"))</f>
        <v>PASS</v>
      </c>
      <c r="X42" t="str">
        <f>IF(rec_Refunds[[#This Row],[Payment_Status]]="Success","PASS","FAIL")</f>
        <v>PASS</v>
      </c>
      <c r="Y42" t="str">
        <f>IF(rec_Refunds[[#This Row],[R3_Payment_Success]]="FAIL","N/A",IF(rec_Refunds[[#This Row],[Refund_Amount]]&gt;rec_Refunds[[#This Row],[Amount_Paid]],"FAIL","PASS"))</f>
        <v>PASS</v>
      </c>
      <c r="Z42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42" t="str">
        <f>IF(rec_Refunds[[#This Row],[Return_Request_Date]]="","N/A",IF(rec_Refunds[[#This Row],[Return_Request_Date]]-rec_Refunds[[#This Row],[Order_Date]]&gt;30,"FAIL","PASS"))</f>
        <v>PASS</v>
      </c>
      <c r="AB42" t="str">
        <f>IF(rec_Refunds[[#This Row],[Return_Request_Date]]="","N/A",IF(rec_Refunds[[#This Row],[Return_Request_Date]]&lt;rec_Refunds[[#This Row],[Order_Date]],"CHECK","OK"))</f>
        <v>OK</v>
      </c>
      <c r="AC42">
        <f>COUNTIF(rec_Refunds[[#This Row],[R1_Has_Return]:[R6_Within_Window]],"FAIL")</f>
        <v>0</v>
      </c>
      <c r="AD42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42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42">
        <f>IF(rec_Refunds[[#This Row],[Exception_Type]]="None",0,1)</f>
        <v>0</v>
      </c>
      <c r="AG42" t="str">
        <f>TEXT(rec_Refunds[[#This Row],[Refund_Date]],"yyyy-mm")</f>
        <v>2026-05</v>
      </c>
    </row>
    <row r="43" spans="1:33">
      <c r="A43" t="s">
        <v>1345</v>
      </c>
      <c r="B43" t="s">
        <v>1231</v>
      </c>
      <c r="C43" t="s">
        <v>689</v>
      </c>
      <c r="D43" s="6">
        <v>46173</v>
      </c>
      <c r="E43">
        <v>5598</v>
      </c>
      <c r="F43" t="s">
        <v>1314</v>
      </c>
      <c r="G43" t="s">
        <v>1417</v>
      </c>
      <c r="H43" t="s">
        <v>1409</v>
      </c>
      <c r="I43" s="6">
        <v>46163</v>
      </c>
      <c r="J43" t="s">
        <v>1185</v>
      </c>
      <c r="K43" s="6">
        <v>46172</v>
      </c>
      <c r="L43" t="s">
        <v>1422</v>
      </c>
      <c r="M43" s="6">
        <v>46150</v>
      </c>
      <c r="N43" t="s">
        <v>30</v>
      </c>
      <c r="O43" t="s">
        <v>47</v>
      </c>
      <c r="P43" t="s">
        <v>100</v>
      </c>
      <c r="Q43">
        <v>5598</v>
      </c>
      <c r="R43" t="s">
        <v>17</v>
      </c>
      <c r="S43" t="s">
        <v>790</v>
      </c>
      <c r="T43" t="s">
        <v>782</v>
      </c>
      <c r="U43">
        <v>5598</v>
      </c>
      <c r="V43" t="str">
        <f>IF(rec_Refunds[[#This Row],[Return_Status]]="","FAIL","PASS")</f>
        <v>PASS</v>
      </c>
      <c r="W43" t="str">
        <f>IF(rec_Refunds[[#This Row],[Return_Status]]="","N/A",IF(rec_Refunds[[#This Row],[Return_Status]]="Received","PASS","FAIL"))</f>
        <v>PASS</v>
      </c>
      <c r="X43" t="str">
        <f>IF(rec_Refunds[[#This Row],[Payment_Status]]="Success","PASS","FAIL")</f>
        <v>PASS</v>
      </c>
      <c r="Y43" t="str">
        <f>IF(rec_Refunds[[#This Row],[R3_Payment_Success]]="FAIL","N/A",IF(rec_Refunds[[#This Row],[Refund_Amount]]&gt;rec_Refunds[[#This Row],[Amount_Paid]],"FAIL","PASS"))</f>
        <v>PASS</v>
      </c>
      <c r="Z43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43" t="str">
        <f>IF(rec_Refunds[[#This Row],[Return_Request_Date]]="","N/A",IF(rec_Refunds[[#This Row],[Return_Request_Date]]-rec_Refunds[[#This Row],[Order_Date]]&gt;30,"FAIL","PASS"))</f>
        <v>PASS</v>
      </c>
      <c r="AB43" t="str">
        <f>IF(rec_Refunds[[#This Row],[Return_Request_Date]]="","N/A",IF(rec_Refunds[[#This Row],[Return_Request_Date]]&lt;rec_Refunds[[#This Row],[Order_Date]],"CHECK","OK"))</f>
        <v>OK</v>
      </c>
      <c r="AC43">
        <f>COUNTIF(rec_Refunds[[#This Row],[R1_Has_Return]:[R6_Within_Window]],"FAIL")</f>
        <v>0</v>
      </c>
      <c r="AD43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43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43">
        <f>IF(rec_Refunds[[#This Row],[Exception_Type]]="None",0,1)</f>
        <v>0</v>
      </c>
      <c r="AG43" t="str">
        <f>TEXT(rec_Refunds[[#This Row],[Refund_Date]],"yyyy-mm")</f>
        <v>2026-05</v>
      </c>
    </row>
    <row r="44" spans="1:33">
      <c r="A44" t="s">
        <v>1333</v>
      </c>
      <c r="B44" t="s">
        <v>1214</v>
      </c>
      <c r="C44" t="s">
        <v>682</v>
      </c>
      <c r="D44" s="6">
        <v>46192</v>
      </c>
      <c r="E44">
        <v>1999</v>
      </c>
      <c r="F44" t="s">
        <v>1314</v>
      </c>
      <c r="G44" t="s">
        <v>1323</v>
      </c>
      <c r="H44" t="s">
        <v>1409</v>
      </c>
      <c r="I44" s="6">
        <v>46184</v>
      </c>
      <c r="J44" t="s">
        <v>1185</v>
      </c>
      <c r="K44" s="6">
        <v>46188</v>
      </c>
      <c r="L44" t="s">
        <v>1203</v>
      </c>
      <c r="M44" s="6">
        <v>46147</v>
      </c>
      <c r="N44" t="s">
        <v>21</v>
      </c>
      <c r="O44" t="s">
        <v>15</v>
      </c>
      <c r="P44" t="s">
        <v>16</v>
      </c>
      <c r="Q44">
        <v>1999</v>
      </c>
      <c r="R44" t="s">
        <v>17</v>
      </c>
      <c r="S44" t="s">
        <v>786</v>
      </c>
      <c r="T44" t="s">
        <v>782</v>
      </c>
      <c r="U44">
        <v>1999</v>
      </c>
      <c r="V44" t="str">
        <f>IF(rec_Refunds[[#This Row],[Return_Status]]="","FAIL","PASS")</f>
        <v>PASS</v>
      </c>
      <c r="W44" t="str">
        <f>IF(rec_Refunds[[#This Row],[Return_Status]]="","N/A",IF(rec_Refunds[[#This Row],[Return_Status]]="Received","PASS","FAIL"))</f>
        <v>PASS</v>
      </c>
      <c r="X44" t="str">
        <f>IF(rec_Refunds[[#This Row],[Payment_Status]]="Success","PASS","FAIL")</f>
        <v>PASS</v>
      </c>
      <c r="Y44" t="str">
        <f>IF(rec_Refunds[[#This Row],[R3_Payment_Success]]="FAIL","N/A",IF(rec_Refunds[[#This Row],[Refund_Amount]]&gt;rec_Refunds[[#This Row],[Amount_Paid]],"FAIL","PASS"))</f>
        <v>PASS</v>
      </c>
      <c r="Z44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44" t="str">
        <f>IF(rec_Refunds[[#This Row],[Return_Request_Date]]="","N/A",IF(rec_Refunds[[#This Row],[Return_Request_Date]]-rec_Refunds[[#This Row],[Order_Date]]&gt;30,"FAIL","PASS"))</f>
        <v>FAIL</v>
      </c>
      <c r="AB44" t="str">
        <f>IF(rec_Refunds[[#This Row],[Return_Request_Date]]="","N/A",IF(rec_Refunds[[#This Row],[Return_Request_Date]]&lt;rec_Refunds[[#This Row],[Order_Date]],"CHECK","OK"))</f>
        <v>OK</v>
      </c>
      <c r="AC44">
        <f>COUNTIF(rec_Refunds[[#This Row],[R1_Has_Return]:[R6_Within_Window]],"FAIL")</f>
        <v>1</v>
      </c>
      <c r="AD44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R6 Late return window</v>
      </c>
      <c r="AE44">
        <f>IF(rec_Refunds[[#This Row],[Exception_Type]]="None",0,IF(LEFT(rec_Refunds[[#This Row],[Exception_Type]],2)="R4",rec_Refunds[[#This Row],[Refund_Amount]]-rec_Refunds[[#This Row],[Amount_Paid]],rec_Refunds[[#This Row],[Refund_Amount]]))</f>
        <v>1999</v>
      </c>
      <c r="AF44">
        <f>IF(rec_Refunds[[#This Row],[Exception_Type]]="None",0,1)</f>
        <v>1</v>
      </c>
      <c r="AG44" t="str">
        <f>TEXT(rec_Refunds[[#This Row],[Refund_Date]],"yyyy-mm")</f>
        <v>2026-06</v>
      </c>
    </row>
    <row r="45" spans="1:33">
      <c r="A45" t="s">
        <v>1361</v>
      </c>
      <c r="B45" t="s">
        <v>1252</v>
      </c>
      <c r="C45" t="s">
        <v>770</v>
      </c>
      <c r="D45" s="6">
        <v>46201</v>
      </c>
      <c r="E45">
        <v>2199</v>
      </c>
      <c r="F45" t="s">
        <v>1311</v>
      </c>
      <c r="G45" t="s">
        <v>1312</v>
      </c>
      <c r="H45" t="s">
        <v>1409</v>
      </c>
      <c r="I45" s="6">
        <v>46190</v>
      </c>
      <c r="J45" t="s">
        <v>1185</v>
      </c>
      <c r="K45" s="6">
        <v>46197</v>
      </c>
      <c r="L45" t="s">
        <v>1420</v>
      </c>
      <c r="M45" s="6">
        <v>46166</v>
      </c>
      <c r="N45" t="s">
        <v>21</v>
      </c>
      <c r="O45" t="s">
        <v>25</v>
      </c>
      <c r="P45" t="s">
        <v>69</v>
      </c>
      <c r="Q45">
        <v>2199</v>
      </c>
      <c r="R45" t="s">
        <v>17</v>
      </c>
      <c r="S45" t="s">
        <v>790</v>
      </c>
      <c r="T45" t="s">
        <v>782</v>
      </c>
      <c r="U45">
        <v>2199</v>
      </c>
      <c r="V45" t="str">
        <f>IF(rec_Refunds[[#This Row],[Return_Status]]="","FAIL","PASS")</f>
        <v>PASS</v>
      </c>
      <c r="W45" t="str">
        <f>IF(rec_Refunds[[#This Row],[Return_Status]]="","N/A",IF(rec_Refunds[[#This Row],[Return_Status]]="Received","PASS","FAIL"))</f>
        <v>PASS</v>
      </c>
      <c r="X45" t="str">
        <f>IF(rec_Refunds[[#This Row],[Payment_Status]]="Success","PASS","FAIL")</f>
        <v>PASS</v>
      </c>
      <c r="Y45" t="str">
        <f>IF(rec_Refunds[[#This Row],[R3_Payment_Success]]="FAIL","N/A",IF(rec_Refunds[[#This Row],[Refund_Amount]]&gt;rec_Refunds[[#This Row],[Amount_Paid]],"FAIL","PASS"))</f>
        <v>PASS</v>
      </c>
      <c r="Z45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45" t="str">
        <f>IF(rec_Refunds[[#This Row],[Return_Request_Date]]="","N/A",IF(rec_Refunds[[#This Row],[Return_Request_Date]]-rec_Refunds[[#This Row],[Order_Date]]&gt;30,"FAIL","PASS"))</f>
        <v>PASS</v>
      </c>
      <c r="AB45" t="str">
        <f>IF(rec_Refunds[[#This Row],[Return_Request_Date]]="","N/A",IF(rec_Refunds[[#This Row],[Return_Request_Date]]&lt;rec_Refunds[[#This Row],[Order_Date]],"CHECK","OK"))</f>
        <v>OK</v>
      </c>
      <c r="AC45">
        <f>COUNTIF(rec_Refunds[[#This Row],[R1_Has_Return]:[R6_Within_Window]],"FAIL")</f>
        <v>0</v>
      </c>
      <c r="AD45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45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45">
        <f>IF(rec_Refunds[[#This Row],[Exception_Type]]="None",0,1)</f>
        <v>0</v>
      </c>
      <c r="AG45" t="str">
        <f>TEXT(rec_Refunds[[#This Row],[Refund_Date]],"yyyy-mm")</f>
        <v>2026-06</v>
      </c>
    </row>
    <row r="46" spans="1:33">
      <c r="A46" t="s">
        <v>1350</v>
      </c>
      <c r="B46" t="s">
        <v>1239</v>
      </c>
      <c r="C46" t="s">
        <v>659</v>
      </c>
      <c r="D46" s="6">
        <v>46186</v>
      </c>
      <c r="E46">
        <v>5397</v>
      </c>
      <c r="F46" t="s">
        <v>1311</v>
      </c>
      <c r="G46" t="s">
        <v>1312</v>
      </c>
      <c r="H46" t="s">
        <v>1425</v>
      </c>
      <c r="I46" s="6">
        <v>46177</v>
      </c>
      <c r="J46" t="s">
        <v>1185</v>
      </c>
      <c r="K46" s="6">
        <v>46182</v>
      </c>
      <c r="L46" t="s">
        <v>1421</v>
      </c>
      <c r="M46" s="6">
        <v>46170</v>
      </c>
      <c r="N46" t="s">
        <v>21</v>
      </c>
      <c r="O46" t="s">
        <v>36</v>
      </c>
      <c r="P46" t="s">
        <v>37</v>
      </c>
      <c r="Q46">
        <v>4598</v>
      </c>
      <c r="R46" t="s">
        <v>17</v>
      </c>
      <c r="S46" t="s">
        <v>784</v>
      </c>
      <c r="T46" t="s">
        <v>782</v>
      </c>
      <c r="U46">
        <v>4598</v>
      </c>
      <c r="V46" t="str">
        <f>IF(rec_Refunds[[#This Row],[Return_Status]]="","FAIL","PASS")</f>
        <v>PASS</v>
      </c>
      <c r="W46" t="str">
        <f>IF(rec_Refunds[[#This Row],[Return_Status]]="","N/A",IF(rec_Refunds[[#This Row],[Return_Status]]="Received","PASS","FAIL"))</f>
        <v>PASS</v>
      </c>
      <c r="X46" t="str">
        <f>IF(rec_Refunds[[#This Row],[Payment_Status]]="Success","PASS","FAIL")</f>
        <v>PASS</v>
      </c>
      <c r="Y46" t="str">
        <f>IF(rec_Refunds[[#This Row],[R3_Payment_Success]]="FAIL","N/A",IF(rec_Refunds[[#This Row],[Refund_Amount]]&gt;rec_Refunds[[#This Row],[Amount_Paid]],"FAIL","PASS"))</f>
        <v>FAIL</v>
      </c>
      <c r="Z46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46" t="str">
        <f>IF(rec_Refunds[[#This Row],[Return_Request_Date]]="","N/A",IF(rec_Refunds[[#This Row],[Return_Request_Date]]-rec_Refunds[[#This Row],[Order_Date]]&gt;30,"FAIL","PASS"))</f>
        <v>PASS</v>
      </c>
      <c r="AB46" t="str">
        <f>IF(rec_Refunds[[#This Row],[Return_Request_Date]]="","N/A",IF(rec_Refunds[[#This Row],[Return_Request_Date]]&lt;rec_Refunds[[#This Row],[Order_Date]],"CHECK","OK"))</f>
        <v>OK</v>
      </c>
      <c r="AC46">
        <f>COUNTIF(rec_Refunds[[#This Row],[R1_Has_Return]:[R6_Within_Window]],"FAIL")</f>
        <v>1</v>
      </c>
      <c r="AD46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R4 Refund exceeds payment</v>
      </c>
      <c r="AE46">
        <f>IF(rec_Refunds[[#This Row],[Exception_Type]]="None",0,IF(LEFT(rec_Refunds[[#This Row],[Exception_Type]],2)="R4",rec_Refunds[[#This Row],[Refund_Amount]]-rec_Refunds[[#This Row],[Amount_Paid]],rec_Refunds[[#This Row],[Refund_Amount]]))</f>
        <v>799</v>
      </c>
      <c r="AF46">
        <f>IF(rec_Refunds[[#This Row],[Exception_Type]]="None",0,1)</f>
        <v>1</v>
      </c>
      <c r="AG46" t="str">
        <f>TEXT(rec_Refunds[[#This Row],[Refund_Date]],"yyyy-mm")</f>
        <v>2026-06</v>
      </c>
    </row>
    <row r="47" spans="1:33">
      <c r="A47" t="s">
        <v>1349</v>
      </c>
      <c r="B47" t="s">
        <v>1238</v>
      </c>
      <c r="C47" t="s">
        <v>675</v>
      </c>
      <c r="D47" s="6">
        <v>46161</v>
      </c>
      <c r="E47">
        <v>1598</v>
      </c>
      <c r="F47" t="s">
        <v>1311</v>
      </c>
      <c r="G47" t="s">
        <v>1312</v>
      </c>
      <c r="H47" t="s">
        <v>1409</v>
      </c>
      <c r="I47" s="6">
        <v>46147</v>
      </c>
      <c r="J47" t="s">
        <v>1185</v>
      </c>
      <c r="K47" s="6">
        <v>46155</v>
      </c>
      <c r="L47" t="s">
        <v>1421</v>
      </c>
      <c r="M47" s="6">
        <v>46133</v>
      </c>
      <c r="N47" t="s">
        <v>217</v>
      </c>
      <c r="O47" t="s">
        <v>36</v>
      </c>
      <c r="P47" t="s">
        <v>151</v>
      </c>
      <c r="Q47">
        <v>1598</v>
      </c>
      <c r="R47" t="s">
        <v>17</v>
      </c>
      <c r="S47" t="s">
        <v>784</v>
      </c>
      <c r="T47" t="s">
        <v>782</v>
      </c>
      <c r="U47">
        <v>1598</v>
      </c>
      <c r="V47" t="str">
        <f>IF(rec_Refunds[[#This Row],[Return_Status]]="","FAIL","PASS")</f>
        <v>PASS</v>
      </c>
      <c r="W47" t="str">
        <f>IF(rec_Refunds[[#This Row],[Return_Status]]="","N/A",IF(rec_Refunds[[#This Row],[Return_Status]]="Received","PASS","FAIL"))</f>
        <v>PASS</v>
      </c>
      <c r="X47" t="str">
        <f>IF(rec_Refunds[[#This Row],[Payment_Status]]="Success","PASS","FAIL")</f>
        <v>PASS</v>
      </c>
      <c r="Y47" t="str">
        <f>IF(rec_Refunds[[#This Row],[R3_Payment_Success]]="FAIL","N/A",IF(rec_Refunds[[#This Row],[Refund_Amount]]&gt;rec_Refunds[[#This Row],[Amount_Paid]],"FAIL","PASS"))</f>
        <v>PASS</v>
      </c>
      <c r="Z47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47" t="str">
        <f>IF(rec_Refunds[[#This Row],[Return_Request_Date]]="","N/A",IF(rec_Refunds[[#This Row],[Return_Request_Date]]-rec_Refunds[[#This Row],[Order_Date]]&gt;30,"FAIL","PASS"))</f>
        <v>PASS</v>
      </c>
      <c r="AB47" t="str">
        <f>IF(rec_Refunds[[#This Row],[Return_Request_Date]]="","N/A",IF(rec_Refunds[[#This Row],[Return_Request_Date]]&lt;rec_Refunds[[#This Row],[Order_Date]],"CHECK","OK"))</f>
        <v>OK</v>
      </c>
      <c r="AC47">
        <f>COUNTIF(rec_Refunds[[#This Row],[R1_Has_Return]:[R6_Within_Window]],"FAIL")</f>
        <v>0</v>
      </c>
      <c r="AD47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47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47">
        <f>IF(rec_Refunds[[#This Row],[Exception_Type]]="None",0,1)</f>
        <v>0</v>
      </c>
      <c r="AG47" t="str">
        <f>TEXT(rec_Refunds[[#This Row],[Refund_Date]],"yyyy-mm")</f>
        <v>2026-05</v>
      </c>
    </row>
    <row r="48" spans="1:33">
      <c r="A48" t="s">
        <v>1394</v>
      </c>
      <c r="B48" t="s">
        <v>1238</v>
      </c>
      <c r="C48" t="s">
        <v>675</v>
      </c>
      <c r="D48" s="6">
        <v>46165</v>
      </c>
      <c r="E48">
        <v>1598</v>
      </c>
      <c r="F48" t="s">
        <v>1311</v>
      </c>
      <c r="G48" t="s">
        <v>1312</v>
      </c>
      <c r="H48" t="s">
        <v>1409</v>
      </c>
      <c r="I48" s="6">
        <v>46147</v>
      </c>
      <c r="J48" t="s">
        <v>1185</v>
      </c>
      <c r="K48" s="6">
        <v>46155</v>
      </c>
      <c r="L48" t="s">
        <v>1421</v>
      </c>
      <c r="M48" s="6">
        <v>46133</v>
      </c>
      <c r="N48" t="s">
        <v>217</v>
      </c>
      <c r="O48" t="s">
        <v>36</v>
      </c>
      <c r="P48" t="s">
        <v>151</v>
      </c>
      <c r="Q48">
        <v>1598</v>
      </c>
      <c r="R48" t="s">
        <v>17</v>
      </c>
      <c r="S48" t="s">
        <v>784</v>
      </c>
      <c r="T48" t="s">
        <v>782</v>
      </c>
      <c r="U48">
        <v>1598</v>
      </c>
      <c r="V48" t="str">
        <f>IF(rec_Refunds[[#This Row],[Return_Status]]="","FAIL","PASS")</f>
        <v>PASS</v>
      </c>
      <c r="W48" t="str">
        <f>IF(rec_Refunds[[#This Row],[Return_Status]]="","N/A",IF(rec_Refunds[[#This Row],[Return_Status]]="Received","PASS","FAIL"))</f>
        <v>PASS</v>
      </c>
      <c r="X48" t="str">
        <f>IF(rec_Refunds[[#This Row],[Payment_Status]]="Success","PASS","FAIL")</f>
        <v>PASS</v>
      </c>
      <c r="Y48" t="str">
        <f>IF(rec_Refunds[[#This Row],[R3_Payment_Success]]="FAIL","N/A",IF(rec_Refunds[[#This Row],[Refund_Amount]]&gt;rec_Refunds[[#This Row],[Amount_Paid]],"FAIL","PASS"))</f>
        <v>PASS</v>
      </c>
      <c r="Z48" t="str">
        <f>IF(rec_Refunds[[#This Row],[Return_ID]]="","N/A",IF(COUNTIFS(rec_Refunds[Return_ID],rec_Refunds[[#This Row],[Return_ID]],rec_Refunds[Refund_Date],"&lt;"&amp;rec_Refunds[[#This Row],[Refund_Date]])&gt;0,"FAIL","PASS"))</f>
        <v>FAIL</v>
      </c>
      <c r="AA48" t="str">
        <f>IF(rec_Refunds[[#This Row],[Return_Request_Date]]="","N/A",IF(rec_Refunds[[#This Row],[Return_Request_Date]]-rec_Refunds[[#This Row],[Order_Date]]&gt;30,"FAIL","PASS"))</f>
        <v>PASS</v>
      </c>
      <c r="AB48" t="str">
        <f>IF(rec_Refunds[[#This Row],[Return_Request_Date]]="","N/A",IF(rec_Refunds[[#This Row],[Return_Request_Date]]&lt;rec_Refunds[[#This Row],[Order_Date]],"CHECK","OK"))</f>
        <v>OK</v>
      </c>
      <c r="AC48">
        <f>COUNTIF(rec_Refunds[[#This Row],[R1_Has_Return]:[R6_Within_Window]],"FAIL")</f>
        <v>1</v>
      </c>
      <c r="AD48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R5 Duplicate refund</v>
      </c>
      <c r="AE48">
        <f>IF(rec_Refunds[[#This Row],[Exception_Type]]="None",0,IF(LEFT(rec_Refunds[[#This Row],[Exception_Type]],2)="R4",rec_Refunds[[#This Row],[Refund_Amount]]-rec_Refunds[[#This Row],[Amount_Paid]],rec_Refunds[[#This Row],[Refund_Amount]]))</f>
        <v>1598</v>
      </c>
      <c r="AF48">
        <f>IF(rec_Refunds[[#This Row],[Exception_Type]]="None",0,1)</f>
        <v>1</v>
      </c>
      <c r="AG48" t="str">
        <f>TEXT(rec_Refunds[[#This Row],[Refund_Date]],"yyyy-mm")</f>
        <v>2026-05</v>
      </c>
    </row>
    <row r="49" spans="1:33">
      <c r="A49" t="s">
        <v>1369</v>
      </c>
      <c r="B49" t="s">
        <v>1264</v>
      </c>
      <c r="C49" t="s">
        <v>441</v>
      </c>
      <c r="D49" s="6">
        <v>46085</v>
      </c>
      <c r="E49">
        <v>2499</v>
      </c>
      <c r="F49" t="s">
        <v>1314</v>
      </c>
      <c r="G49" t="s">
        <v>1312</v>
      </c>
      <c r="H49" t="s">
        <v>1409</v>
      </c>
      <c r="I49" s="6">
        <v>46077</v>
      </c>
      <c r="J49" t="s">
        <v>1185</v>
      </c>
      <c r="K49" s="6">
        <v>46080</v>
      </c>
      <c r="L49" t="s">
        <v>1203</v>
      </c>
      <c r="M49" s="6">
        <v>46055</v>
      </c>
      <c r="N49" t="s">
        <v>14</v>
      </c>
      <c r="O49" t="s">
        <v>22</v>
      </c>
      <c r="P49" t="s">
        <v>196</v>
      </c>
      <c r="Q49">
        <v>2499</v>
      </c>
      <c r="R49" t="s">
        <v>17</v>
      </c>
      <c r="S49" t="s">
        <v>788</v>
      </c>
      <c r="T49" t="s">
        <v>782</v>
      </c>
      <c r="U49">
        <v>2499</v>
      </c>
      <c r="V49" t="str">
        <f>IF(rec_Refunds[[#This Row],[Return_Status]]="","FAIL","PASS")</f>
        <v>PASS</v>
      </c>
      <c r="W49" t="str">
        <f>IF(rec_Refunds[[#This Row],[Return_Status]]="","N/A",IF(rec_Refunds[[#This Row],[Return_Status]]="Received","PASS","FAIL"))</f>
        <v>PASS</v>
      </c>
      <c r="X49" t="str">
        <f>IF(rec_Refunds[[#This Row],[Payment_Status]]="Success","PASS","FAIL")</f>
        <v>PASS</v>
      </c>
      <c r="Y49" t="str">
        <f>IF(rec_Refunds[[#This Row],[R3_Payment_Success]]="FAIL","N/A",IF(rec_Refunds[[#This Row],[Refund_Amount]]&gt;rec_Refunds[[#This Row],[Amount_Paid]],"FAIL","PASS"))</f>
        <v>PASS</v>
      </c>
      <c r="Z49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49" t="str">
        <f>IF(rec_Refunds[[#This Row],[Return_Request_Date]]="","N/A",IF(rec_Refunds[[#This Row],[Return_Request_Date]]-rec_Refunds[[#This Row],[Order_Date]]&gt;30,"FAIL","PASS"))</f>
        <v>PASS</v>
      </c>
      <c r="AB49" t="str">
        <f>IF(rec_Refunds[[#This Row],[Return_Request_Date]]="","N/A",IF(rec_Refunds[[#This Row],[Return_Request_Date]]&lt;rec_Refunds[[#This Row],[Order_Date]],"CHECK","OK"))</f>
        <v>OK</v>
      </c>
      <c r="AC49">
        <f>COUNTIF(rec_Refunds[[#This Row],[R1_Has_Return]:[R6_Within_Window]],"FAIL")</f>
        <v>0</v>
      </c>
      <c r="AD49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49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49">
        <f>IF(rec_Refunds[[#This Row],[Exception_Type]]="None",0,1)</f>
        <v>0</v>
      </c>
      <c r="AG49" t="str">
        <f>TEXT(rec_Refunds[[#This Row],[Refund_Date]],"yyyy-mm")</f>
        <v>2026-03</v>
      </c>
    </row>
    <row r="50" spans="1:33">
      <c r="A50" t="s">
        <v>1367</v>
      </c>
      <c r="B50" t="s">
        <v>1261</v>
      </c>
      <c r="C50" t="s">
        <v>515</v>
      </c>
      <c r="D50" s="6">
        <v>46096</v>
      </c>
      <c r="E50">
        <v>2398</v>
      </c>
      <c r="F50" t="s">
        <v>1311</v>
      </c>
      <c r="G50" t="s">
        <v>1323</v>
      </c>
      <c r="H50" t="s">
        <v>1409</v>
      </c>
      <c r="I50" s="6">
        <v>46090</v>
      </c>
      <c r="J50" t="s">
        <v>1185</v>
      </c>
      <c r="K50" s="6">
        <v>46093</v>
      </c>
      <c r="L50" t="s">
        <v>1420</v>
      </c>
      <c r="M50" s="6">
        <v>46068</v>
      </c>
      <c r="N50" t="s">
        <v>73</v>
      </c>
      <c r="O50" t="s">
        <v>15</v>
      </c>
      <c r="P50" t="s">
        <v>162</v>
      </c>
      <c r="Q50">
        <v>1599</v>
      </c>
      <c r="R50" t="s">
        <v>17</v>
      </c>
      <c r="S50" t="s">
        <v>786</v>
      </c>
      <c r="T50" t="s">
        <v>782</v>
      </c>
      <c r="U50">
        <v>1599</v>
      </c>
      <c r="V50" t="str">
        <f>IF(rec_Refunds[[#This Row],[Return_Status]]="","FAIL","PASS")</f>
        <v>PASS</v>
      </c>
      <c r="W50" t="str">
        <f>IF(rec_Refunds[[#This Row],[Return_Status]]="","N/A",IF(rec_Refunds[[#This Row],[Return_Status]]="Received","PASS","FAIL"))</f>
        <v>PASS</v>
      </c>
      <c r="X50" t="str">
        <f>IF(rec_Refunds[[#This Row],[Payment_Status]]="Success","PASS","FAIL")</f>
        <v>PASS</v>
      </c>
      <c r="Y50" t="str">
        <f>IF(rec_Refunds[[#This Row],[R3_Payment_Success]]="FAIL","N/A",IF(rec_Refunds[[#This Row],[Refund_Amount]]&gt;rec_Refunds[[#This Row],[Amount_Paid]],"FAIL","PASS"))</f>
        <v>FAIL</v>
      </c>
      <c r="Z50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50" t="str">
        <f>IF(rec_Refunds[[#This Row],[Return_Request_Date]]="","N/A",IF(rec_Refunds[[#This Row],[Return_Request_Date]]-rec_Refunds[[#This Row],[Order_Date]]&gt;30,"FAIL","PASS"))</f>
        <v>PASS</v>
      </c>
      <c r="AB50" t="str">
        <f>IF(rec_Refunds[[#This Row],[Return_Request_Date]]="","N/A",IF(rec_Refunds[[#This Row],[Return_Request_Date]]&lt;rec_Refunds[[#This Row],[Order_Date]],"CHECK","OK"))</f>
        <v>OK</v>
      </c>
      <c r="AC50">
        <f>COUNTIF(rec_Refunds[[#This Row],[R1_Has_Return]:[R6_Within_Window]],"FAIL")</f>
        <v>1</v>
      </c>
      <c r="AD50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R4 Refund exceeds payment</v>
      </c>
      <c r="AE50">
        <f>IF(rec_Refunds[[#This Row],[Exception_Type]]="None",0,IF(LEFT(rec_Refunds[[#This Row],[Exception_Type]],2)="R4",rec_Refunds[[#This Row],[Refund_Amount]]-rec_Refunds[[#This Row],[Amount_Paid]],rec_Refunds[[#This Row],[Refund_Amount]]))</f>
        <v>799</v>
      </c>
      <c r="AF50">
        <f>IF(rec_Refunds[[#This Row],[Exception_Type]]="None",0,1)</f>
        <v>1</v>
      </c>
      <c r="AG50" t="str">
        <f>TEXT(rec_Refunds[[#This Row],[Refund_Date]],"yyyy-mm")</f>
        <v>2026-03</v>
      </c>
    </row>
    <row r="51" spans="1:33">
      <c r="A51" t="s">
        <v>1335</v>
      </c>
      <c r="B51" t="s">
        <v>1216</v>
      </c>
      <c r="C51" t="s">
        <v>672</v>
      </c>
      <c r="D51" s="6">
        <v>46175</v>
      </c>
      <c r="E51">
        <v>1999</v>
      </c>
      <c r="F51" t="s">
        <v>1311</v>
      </c>
      <c r="G51" t="s">
        <v>1312</v>
      </c>
      <c r="H51" t="s">
        <v>1409</v>
      </c>
      <c r="I51" s="6">
        <v>46161</v>
      </c>
      <c r="J51" t="s">
        <v>1185</v>
      </c>
      <c r="K51" s="6">
        <v>46170</v>
      </c>
      <c r="L51" t="s">
        <v>1419</v>
      </c>
      <c r="M51" s="6">
        <v>46148</v>
      </c>
      <c r="N51" t="s">
        <v>21</v>
      </c>
      <c r="O51" t="s">
        <v>15</v>
      </c>
      <c r="P51" t="s">
        <v>16</v>
      </c>
      <c r="Q51">
        <v>1999</v>
      </c>
      <c r="R51" t="s">
        <v>17</v>
      </c>
      <c r="S51" t="s">
        <v>790</v>
      </c>
      <c r="T51" t="s">
        <v>782</v>
      </c>
      <c r="U51">
        <v>1999</v>
      </c>
      <c r="V51" t="str">
        <f>IF(rec_Refunds[[#This Row],[Return_Status]]="","FAIL","PASS")</f>
        <v>PASS</v>
      </c>
      <c r="W51" t="str">
        <f>IF(rec_Refunds[[#This Row],[Return_Status]]="","N/A",IF(rec_Refunds[[#This Row],[Return_Status]]="Received","PASS","FAIL"))</f>
        <v>PASS</v>
      </c>
      <c r="X51" t="str">
        <f>IF(rec_Refunds[[#This Row],[Payment_Status]]="Success","PASS","FAIL")</f>
        <v>PASS</v>
      </c>
      <c r="Y51" t="str">
        <f>IF(rec_Refunds[[#This Row],[R3_Payment_Success]]="FAIL","N/A",IF(rec_Refunds[[#This Row],[Refund_Amount]]&gt;rec_Refunds[[#This Row],[Amount_Paid]],"FAIL","PASS"))</f>
        <v>PASS</v>
      </c>
      <c r="Z51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51" t="str">
        <f>IF(rec_Refunds[[#This Row],[Return_Request_Date]]="","N/A",IF(rec_Refunds[[#This Row],[Return_Request_Date]]-rec_Refunds[[#This Row],[Order_Date]]&gt;30,"FAIL","PASS"))</f>
        <v>PASS</v>
      </c>
      <c r="AB51" t="str">
        <f>IF(rec_Refunds[[#This Row],[Return_Request_Date]]="","N/A",IF(rec_Refunds[[#This Row],[Return_Request_Date]]&lt;rec_Refunds[[#This Row],[Order_Date]],"CHECK","OK"))</f>
        <v>OK</v>
      </c>
      <c r="AC51">
        <f>COUNTIF(rec_Refunds[[#This Row],[R1_Has_Return]:[R6_Within_Window]],"FAIL")</f>
        <v>0</v>
      </c>
      <c r="AD51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51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51">
        <f>IF(rec_Refunds[[#This Row],[Exception_Type]]="None",0,1)</f>
        <v>0</v>
      </c>
      <c r="AG51" t="str">
        <f>TEXT(rec_Refunds[[#This Row],[Refund_Date]],"yyyy-mm")</f>
        <v>2026-06</v>
      </c>
    </row>
    <row r="52" spans="1:33">
      <c r="A52" t="s">
        <v>1383</v>
      </c>
      <c r="B52" t="s">
        <v>1290</v>
      </c>
      <c r="C52" t="s">
        <v>732</v>
      </c>
      <c r="D52" s="6">
        <v>46064</v>
      </c>
      <c r="E52">
        <v>1999</v>
      </c>
      <c r="F52" t="s">
        <v>1317</v>
      </c>
      <c r="G52" t="s">
        <v>1312</v>
      </c>
      <c r="H52" t="s">
        <v>1409</v>
      </c>
      <c r="I52" s="6">
        <v>46057</v>
      </c>
      <c r="J52" t="s">
        <v>1185</v>
      </c>
      <c r="K52" s="6">
        <v>46061</v>
      </c>
      <c r="L52" t="s">
        <v>1203</v>
      </c>
      <c r="M52" s="6">
        <v>46042</v>
      </c>
      <c r="N52" t="s">
        <v>21</v>
      </c>
      <c r="O52" t="s">
        <v>15</v>
      </c>
      <c r="P52" t="s">
        <v>16</v>
      </c>
      <c r="Q52">
        <v>1999</v>
      </c>
      <c r="R52" t="s">
        <v>17</v>
      </c>
      <c r="S52" t="s">
        <v>784</v>
      </c>
      <c r="T52" t="s">
        <v>782</v>
      </c>
      <c r="U52">
        <v>1999</v>
      </c>
      <c r="V52" t="str">
        <f>IF(rec_Refunds[[#This Row],[Return_Status]]="","FAIL","PASS")</f>
        <v>PASS</v>
      </c>
      <c r="W52" t="str">
        <f>IF(rec_Refunds[[#This Row],[Return_Status]]="","N/A",IF(rec_Refunds[[#This Row],[Return_Status]]="Received","PASS","FAIL"))</f>
        <v>PASS</v>
      </c>
      <c r="X52" t="str">
        <f>IF(rec_Refunds[[#This Row],[Payment_Status]]="Success","PASS","FAIL")</f>
        <v>PASS</v>
      </c>
      <c r="Y52" t="str">
        <f>IF(rec_Refunds[[#This Row],[R3_Payment_Success]]="FAIL","N/A",IF(rec_Refunds[[#This Row],[Refund_Amount]]&gt;rec_Refunds[[#This Row],[Amount_Paid]],"FAIL","PASS"))</f>
        <v>PASS</v>
      </c>
      <c r="Z52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52" t="str">
        <f>IF(rec_Refunds[[#This Row],[Return_Request_Date]]="","N/A",IF(rec_Refunds[[#This Row],[Return_Request_Date]]-rec_Refunds[[#This Row],[Order_Date]]&gt;30,"FAIL","PASS"))</f>
        <v>PASS</v>
      </c>
      <c r="AB52" t="str">
        <f>IF(rec_Refunds[[#This Row],[Return_Request_Date]]="","N/A",IF(rec_Refunds[[#This Row],[Return_Request_Date]]&lt;rec_Refunds[[#This Row],[Order_Date]],"CHECK","OK"))</f>
        <v>OK</v>
      </c>
      <c r="AC52">
        <f>COUNTIF(rec_Refunds[[#This Row],[R1_Has_Return]:[R6_Within_Window]],"FAIL")</f>
        <v>0</v>
      </c>
      <c r="AD52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52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52">
        <f>IF(rec_Refunds[[#This Row],[Exception_Type]]="None",0,1)</f>
        <v>0</v>
      </c>
      <c r="AG52" t="str">
        <f>TEXT(rec_Refunds[[#This Row],[Refund_Date]],"yyyy-mm")</f>
        <v>2026-02</v>
      </c>
    </row>
    <row r="53" spans="1:33">
      <c r="A53" t="s">
        <v>1399</v>
      </c>
      <c r="B53" t="s">
        <v>1290</v>
      </c>
      <c r="C53" t="s">
        <v>732</v>
      </c>
      <c r="D53" s="6">
        <v>46066</v>
      </c>
      <c r="E53">
        <v>1999</v>
      </c>
      <c r="F53" t="s">
        <v>1317</v>
      </c>
      <c r="G53" t="s">
        <v>1312</v>
      </c>
      <c r="H53" t="s">
        <v>1409</v>
      </c>
      <c r="I53" s="6">
        <v>46057</v>
      </c>
      <c r="J53" t="s">
        <v>1185</v>
      </c>
      <c r="K53" s="6">
        <v>46061</v>
      </c>
      <c r="L53" t="s">
        <v>1203</v>
      </c>
      <c r="M53" s="6">
        <v>46042</v>
      </c>
      <c r="N53" t="s">
        <v>21</v>
      </c>
      <c r="O53" t="s">
        <v>15</v>
      </c>
      <c r="P53" t="s">
        <v>16</v>
      </c>
      <c r="Q53">
        <v>1999</v>
      </c>
      <c r="R53" t="s">
        <v>17</v>
      </c>
      <c r="S53" t="s">
        <v>784</v>
      </c>
      <c r="T53" t="s">
        <v>782</v>
      </c>
      <c r="U53">
        <v>1999</v>
      </c>
      <c r="V53" t="str">
        <f>IF(rec_Refunds[[#This Row],[Return_Status]]="","FAIL","PASS")</f>
        <v>PASS</v>
      </c>
      <c r="W53" t="str">
        <f>IF(rec_Refunds[[#This Row],[Return_Status]]="","N/A",IF(rec_Refunds[[#This Row],[Return_Status]]="Received","PASS","FAIL"))</f>
        <v>PASS</v>
      </c>
      <c r="X53" t="str">
        <f>IF(rec_Refunds[[#This Row],[Payment_Status]]="Success","PASS","FAIL")</f>
        <v>PASS</v>
      </c>
      <c r="Y53" t="str">
        <f>IF(rec_Refunds[[#This Row],[R3_Payment_Success]]="FAIL","N/A",IF(rec_Refunds[[#This Row],[Refund_Amount]]&gt;rec_Refunds[[#This Row],[Amount_Paid]],"FAIL","PASS"))</f>
        <v>PASS</v>
      </c>
      <c r="Z53" t="str">
        <f>IF(rec_Refunds[[#This Row],[Return_ID]]="","N/A",IF(COUNTIFS(rec_Refunds[Return_ID],rec_Refunds[[#This Row],[Return_ID]],rec_Refunds[Refund_Date],"&lt;"&amp;rec_Refunds[[#This Row],[Refund_Date]])&gt;0,"FAIL","PASS"))</f>
        <v>FAIL</v>
      </c>
      <c r="AA53" t="str">
        <f>IF(rec_Refunds[[#This Row],[Return_Request_Date]]="","N/A",IF(rec_Refunds[[#This Row],[Return_Request_Date]]-rec_Refunds[[#This Row],[Order_Date]]&gt;30,"FAIL","PASS"))</f>
        <v>PASS</v>
      </c>
      <c r="AB53" t="str">
        <f>IF(rec_Refunds[[#This Row],[Return_Request_Date]]="","N/A",IF(rec_Refunds[[#This Row],[Return_Request_Date]]&lt;rec_Refunds[[#This Row],[Order_Date]],"CHECK","OK"))</f>
        <v>OK</v>
      </c>
      <c r="AC53">
        <f>COUNTIF(rec_Refunds[[#This Row],[R1_Has_Return]:[R6_Within_Window]],"FAIL")</f>
        <v>1</v>
      </c>
      <c r="AD53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R5 Duplicate refund</v>
      </c>
      <c r="AE53">
        <f>IF(rec_Refunds[[#This Row],[Exception_Type]]="None",0,IF(LEFT(rec_Refunds[[#This Row],[Exception_Type]],2)="R4",rec_Refunds[[#This Row],[Refund_Amount]]-rec_Refunds[[#This Row],[Amount_Paid]],rec_Refunds[[#This Row],[Refund_Amount]]))</f>
        <v>1999</v>
      </c>
      <c r="AF53">
        <f>IF(rec_Refunds[[#This Row],[Exception_Type]]="None",0,1)</f>
        <v>1</v>
      </c>
      <c r="AG53" t="str">
        <f>TEXT(rec_Refunds[[#This Row],[Refund_Date]],"yyyy-mm")</f>
        <v>2026-02</v>
      </c>
    </row>
    <row r="54" spans="1:33">
      <c r="A54" t="s">
        <v>1359</v>
      </c>
      <c r="B54" t="s">
        <v>1249</v>
      </c>
      <c r="C54" t="s">
        <v>570</v>
      </c>
      <c r="D54" s="6">
        <v>46132</v>
      </c>
      <c r="E54">
        <v>1499</v>
      </c>
      <c r="F54" t="s">
        <v>1311</v>
      </c>
      <c r="G54" t="s">
        <v>1312</v>
      </c>
      <c r="H54" t="s">
        <v>1409</v>
      </c>
      <c r="I54" s="6">
        <v>46124</v>
      </c>
      <c r="J54" t="s">
        <v>1185</v>
      </c>
      <c r="K54" s="6">
        <v>46128</v>
      </c>
      <c r="L54" t="s">
        <v>1422</v>
      </c>
      <c r="M54" s="6">
        <v>46110</v>
      </c>
      <c r="N54" t="s">
        <v>217</v>
      </c>
      <c r="O54" t="s">
        <v>22</v>
      </c>
      <c r="P54" t="s">
        <v>43</v>
      </c>
      <c r="Q54">
        <v>1499</v>
      </c>
      <c r="R54" t="s">
        <v>17</v>
      </c>
      <c r="S54" t="s">
        <v>788</v>
      </c>
      <c r="T54" t="s">
        <v>782</v>
      </c>
      <c r="U54">
        <v>1499</v>
      </c>
      <c r="V54" t="str">
        <f>IF(rec_Refunds[[#This Row],[Return_Status]]="","FAIL","PASS")</f>
        <v>PASS</v>
      </c>
      <c r="W54" t="str">
        <f>IF(rec_Refunds[[#This Row],[Return_Status]]="","N/A",IF(rec_Refunds[[#This Row],[Return_Status]]="Received","PASS","FAIL"))</f>
        <v>PASS</v>
      </c>
      <c r="X54" t="str">
        <f>IF(rec_Refunds[[#This Row],[Payment_Status]]="Success","PASS","FAIL")</f>
        <v>PASS</v>
      </c>
      <c r="Y54" t="str">
        <f>IF(rec_Refunds[[#This Row],[R3_Payment_Success]]="FAIL","N/A",IF(rec_Refunds[[#This Row],[Refund_Amount]]&gt;rec_Refunds[[#This Row],[Amount_Paid]],"FAIL","PASS"))</f>
        <v>PASS</v>
      </c>
      <c r="Z54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54" t="str">
        <f>IF(rec_Refunds[[#This Row],[Return_Request_Date]]="","N/A",IF(rec_Refunds[[#This Row],[Return_Request_Date]]-rec_Refunds[[#This Row],[Order_Date]]&gt;30,"FAIL","PASS"))</f>
        <v>PASS</v>
      </c>
      <c r="AB54" t="str">
        <f>IF(rec_Refunds[[#This Row],[Return_Request_Date]]="","N/A",IF(rec_Refunds[[#This Row],[Return_Request_Date]]&lt;rec_Refunds[[#This Row],[Order_Date]],"CHECK","OK"))</f>
        <v>OK</v>
      </c>
      <c r="AC54">
        <f>COUNTIF(rec_Refunds[[#This Row],[R1_Has_Return]:[R6_Within_Window]],"FAIL")</f>
        <v>0</v>
      </c>
      <c r="AD54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54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54">
        <f>IF(rec_Refunds[[#This Row],[Exception_Type]]="None",0,1)</f>
        <v>0</v>
      </c>
      <c r="AG54" t="str">
        <f>TEXT(rec_Refunds[[#This Row],[Refund_Date]],"yyyy-mm")</f>
        <v>2026-04</v>
      </c>
    </row>
    <row r="55" spans="1:33">
      <c r="A55" t="s">
        <v>1379</v>
      </c>
      <c r="B55" t="s">
        <v>1281</v>
      </c>
      <c r="C55" t="s">
        <v>448</v>
      </c>
      <c r="D55" s="6">
        <v>46073</v>
      </c>
      <c r="E55">
        <v>2697</v>
      </c>
      <c r="F55" t="s">
        <v>1311</v>
      </c>
      <c r="G55" t="s">
        <v>1417</v>
      </c>
      <c r="H55" t="s">
        <v>1409</v>
      </c>
      <c r="I55" s="6">
        <v>46066</v>
      </c>
      <c r="J55" t="s">
        <v>1185</v>
      </c>
      <c r="K55" s="6">
        <v>46071</v>
      </c>
      <c r="L55" t="s">
        <v>1421</v>
      </c>
      <c r="M55" s="6">
        <v>46063</v>
      </c>
      <c r="N55" t="s">
        <v>64</v>
      </c>
      <c r="O55" t="s">
        <v>15</v>
      </c>
      <c r="P55" t="s">
        <v>52</v>
      </c>
      <c r="Q55">
        <v>2697</v>
      </c>
      <c r="R55" t="s">
        <v>17</v>
      </c>
      <c r="S55" t="s">
        <v>790</v>
      </c>
      <c r="T55" t="s">
        <v>782</v>
      </c>
      <c r="U55">
        <v>2697</v>
      </c>
      <c r="V55" t="str">
        <f>IF(rec_Refunds[[#This Row],[Return_Status]]="","FAIL","PASS")</f>
        <v>PASS</v>
      </c>
      <c r="W55" t="str">
        <f>IF(rec_Refunds[[#This Row],[Return_Status]]="","N/A",IF(rec_Refunds[[#This Row],[Return_Status]]="Received","PASS","FAIL"))</f>
        <v>PASS</v>
      </c>
      <c r="X55" t="str">
        <f>IF(rec_Refunds[[#This Row],[Payment_Status]]="Success","PASS","FAIL")</f>
        <v>PASS</v>
      </c>
      <c r="Y55" t="str">
        <f>IF(rec_Refunds[[#This Row],[R3_Payment_Success]]="FAIL","N/A",IF(rec_Refunds[[#This Row],[Refund_Amount]]&gt;rec_Refunds[[#This Row],[Amount_Paid]],"FAIL","PASS"))</f>
        <v>PASS</v>
      </c>
      <c r="Z55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55" t="str">
        <f>IF(rec_Refunds[[#This Row],[Return_Request_Date]]="","N/A",IF(rec_Refunds[[#This Row],[Return_Request_Date]]-rec_Refunds[[#This Row],[Order_Date]]&gt;30,"FAIL","PASS"))</f>
        <v>PASS</v>
      </c>
      <c r="AB55" t="str">
        <f>IF(rec_Refunds[[#This Row],[Return_Request_Date]]="","N/A",IF(rec_Refunds[[#This Row],[Return_Request_Date]]&lt;rec_Refunds[[#This Row],[Order_Date]],"CHECK","OK"))</f>
        <v>OK</v>
      </c>
      <c r="AC55">
        <f>COUNTIF(rec_Refunds[[#This Row],[R1_Has_Return]:[R6_Within_Window]],"FAIL")</f>
        <v>0</v>
      </c>
      <c r="AD55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55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55">
        <f>IF(rec_Refunds[[#This Row],[Exception_Type]]="None",0,1)</f>
        <v>0</v>
      </c>
      <c r="AG55" t="str">
        <f>TEXT(rec_Refunds[[#This Row],[Refund_Date]],"yyyy-mm")</f>
        <v>2026-02</v>
      </c>
    </row>
    <row r="56" spans="1:33">
      <c r="A56" t="s">
        <v>1405</v>
      </c>
      <c r="C56" t="s">
        <v>650</v>
      </c>
      <c r="D56" s="6">
        <v>46188</v>
      </c>
      <c r="E56">
        <v>3499</v>
      </c>
      <c r="F56" t="s">
        <v>1314</v>
      </c>
      <c r="G56" t="s">
        <v>1312</v>
      </c>
      <c r="H56" t="s">
        <v>1409</v>
      </c>
      <c r="I56" s="6"/>
      <c r="K56" s="6"/>
      <c r="M56" s="6">
        <v>46086</v>
      </c>
      <c r="N56" t="s">
        <v>217</v>
      </c>
      <c r="O56" t="s">
        <v>47</v>
      </c>
      <c r="P56" t="s">
        <v>56</v>
      </c>
      <c r="Q56">
        <v>3499</v>
      </c>
      <c r="R56" t="s">
        <v>17</v>
      </c>
      <c r="S56" t="s">
        <v>790</v>
      </c>
      <c r="T56" t="s">
        <v>782</v>
      </c>
      <c r="U56">
        <v>3499</v>
      </c>
      <c r="V56" t="str">
        <f>IF(rec_Refunds[[#This Row],[Return_Status]]="","FAIL","PASS")</f>
        <v>FAIL</v>
      </c>
      <c r="W56" t="str">
        <f>IF(rec_Refunds[[#This Row],[Return_Status]]="","N/A",IF(rec_Refunds[[#This Row],[Return_Status]]="Received","PASS","FAIL"))</f>
        <v>N/A</v>
      </c>
      <c r="X56" t="str">
        <f>IF(rec_Refunds[[#This Row],[Payment_Status]]="Success","PASS","FAIL")</f>
        <v>PASS</v>
      </c>
      <c r="Y56" t="str">
        <f>IF(rec_Refunds[[#This Row],[R3_Payment_Success]]="FAIL","N/A",IF(rec_Refunds[[#This Row],[Refund_Amount]]&gt;rec_Refunds[[#This Row],[Amount_Paid]],"FAIL","PASS"))</f>
        <v>PASS</v>
      </c>
      <c r="Z56" t="str">
        <f>IF(rec_Refunds[[#This Row],[Return_ID]]="","N/A",IF(COUNTIFS(rec_Refunds[Return_ID],rec_Refunds[[#This Row],[Return_ID]],rec_Refunds[Refund_Date],"&lt;"&amp;rec_Refunds[[#This Row],[Refund_Date]])&gt;0,"FAIL","PASS"))</f>
        <v>N/A</v>
      </c>
      <c r="AA56" t="str">
        <f>IF(rec_Refunds[[#This Row],[Return_Request_Date]]="","N/A",IF(rec_Refunds[[#This Row],[Return_Request_Date]]-rec_Refunds[[#This Row],[Order_Date]]&gt;30,"FAIL","PASS"))</f>
        <v>N/A</v>
      </c>
      <c r="AB56" t="str">
        <f>IF(rec_Refunds[[#This Row],[Return_Request_Date]]="","N/A",IF(rec_Refunds[[#This Row],[Return_Request_Date]]&lt;rec_Refunds[[#This Row],[Order_Date]],"CHECK","OK"))</f>
        <v>N/A</v>
      </c>
      <c r="AC56">
        <f>COUNTIF(rec_Refunds[[#This Row],[R1_Has_Return]:[R6_Within_Window]],"FAIL")</f>
        <v>1</v>
      </c>
      <c r="AD56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R1 No return record</v>
      </c>
      <c r="AE56">
        <f>IF(rec_Refunds[[#This Row],[Exception_Type]]="None",0,IF(LEFT(rec_Refunds[[#This Row],[Exception_Type]],2)="R4",rec_Refunds[[#This Row],[Refund_Amount]]-rec_Refunds[[#This Row],[Amount_Paid]],rec_Refunds[[#This Row],[Refund_Amount]]))</f>
        <v>3499</v>
      </c>
      <c r="AF56">
        <f>IF(rec_Refunds[[#This Row],[Exception_Type]]="None",0,1)</f>
        <v>1</v>
      </c>
      <c r="AG56" t="str">
        <f>TEXT(rec_Refunds[[#This Row],[Refund_Date]],"yyyy-mm")</f>
        <v>2026-06</v>
      </c>
    </row>
    <row r="57" spans="1:33">
      <c r="A57" t="s">
        <v>1340</v>
      </c>
      <c r="B57" t="s">
        <v>1221</v>
      </c>
      <c r="C57" t="s">
        <v>639</v>
      </c>
      <c r="D57" s="6">
        <v>46061</v>
      </c>
      <c r="E57">
        <v>2598</v>
      </c>
      <c r="F57" t="s">
        <v>1311</v>
      </c>
      <c r="G57" t="s">
        <v>1312</v>
      </c>
      <c r="H57" t="s">
        <v>1409</v>
      </c>
      <c r="I57" s="6">
        <v>46056</v>
      </c>
      <c r="J57" t="s">
        <v>1185</v>
      </c>
      <c r="K57" s="6">
        <v>46059</v>
      </c>
      <c r="L57" t="s">
        <v>1420</v>
      </c>
      <c r="M57" s="6">
        <v>46039</v>
      </c>
      <c r="N57" t="s">
        <v>64</v>
      </c>
      <c r="O57" t="s">
        <v>25</v>
      </c>
      <c r="P57" t="s">
        <v>26</v>
      </c>
      <c r="Q57">
        <v>2598</v>
      </c>
      <c r="R57" t="s">
        <v>17</v>
      </c>
      <c r="S57" t="s">
        <v>784</v>
      </c>
      <c r="T57" t="s">
        <v>782</v>
      </c>
      <c r="U57">
        <v>2598</v>
      </c>
      <c r="V57" t="str">
        <f>IF(rec_Refunds[[#This Row],[Return_Status]]="","FAIL","PASS")</f>
        <v>PASS</v>
      </c>
      <c r="W57" t="str">
        <f>IF(rec_Refunds[[#This Row],[Return_Status]]="","N/A",IF(rec_Refunds[[#This Row],[Return_Status]]="Received","PASS","FAIL"))</f>
        <v>PASS</v>
      </c>
      <c r="X57" t="str">
        <f>IF(rec_Refunds[[#This Row],[Payment_Status]]="Success","PASS","FAIL")</f>
        <v>PASS</v>
      </c>
      <c r="Y57" t="str">
        <f>IF(rec_Refunds[[#This Row],[R3_Payment_Success]]="FAIL","N/A",IF(rec_Refunds[[#This Row],[Refund_Amount]]&gt;rec_Refunds[[#This Row],[Amount_Paid]],"FAIL","PASS"))</f>
        <v>PASS</v>
      </c>
      <c r="Z57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57" t="str">
        <f>IF(rec_Refunds[[#This Row],[Return_Request_Date]]="","N/A",IF(rec_Refunds[[#This Row],[Return_Request_Date]]-rec_Refunds[[#This Row],[Order_Date]]&gt;30,"FAIL","PASS"))</f>
        <v>PASS</v>
      </c>
      <c r="AB57" t="str">
        <f>IF(rec_Refunds[[#This Row],[Return_Request_Date]]="","N/A",IF(rec_Refunds[[#This Row],[Return_Request_Date]]&lt;rec_Refunds[[#This Row],[Order_Date]],"CHECK","OK"))</f>
        <v>OK</v>
      </c>
      <c r="AC57">
        <f>COUNTIF(rec_Refunds[[#This Row],[R1_Has_Return]:[R6_Within_Window]],"FAIL")</f>
        <v>0</v>
      </c>
      <c r="AD57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57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57">
        <f>IF(rec_Refunds[[#This Row],[Exception_Type]]="None",0,1)</f>
        <v>0</v>
      </c>
      <c r="AG57" t="str">
        <f>TEXT(rec_Refunds[[#This Row],[Refund_Date]],"yyyy-mm")</f>
        <v>2026-02</v>
      </c>
    </row>
    <row r="58" spans="1:33">
      <c r="A58" t="s">
        <v>1313</v>
      </c>
      <c r="B58" t="s">
        <v>1186</v>
      </c>
      <c r="C58" t="s">
        <v>343</v>
      </c>
      <c r="D58" s="6">
        <v>46123</v>
      </c>
      <c r="E58">
        <v>599</v>
      </c>
      <c r="F58" t="s">
        <v>1314</v>
      </c>
      <c r="G58" t="s">
        <v>1323</v>
      </c>
      <c r="H58" t="s">
        <v>1409</v>
      </c>
      <c r="I58" s="6">
        <v>46116</v>
      </c>
      <c r="J58" t="s">
        <v>1185</v>
      </c>
      <c r="K58" s="6">
        <v>46121</v>
      </c>
      <c r="L58" t="s">
        <v>1419</v>
      </c>
      <c r="M58" s="6">
        <v>46093</v>
      </c>
      <c r="N58" t="s">
        <v>14</v>
      </c>
      <c r="O58" t="s">
        <v>22</v>
      </c>
      <c r="P58" t="s">
        <v>138</v>
      </c>
      <c r="Q58">
        <v>599</v>
      </c>
      <c r="R58" t="s">
        <v>17</v>
      </c>
      <c r="S58" t="s">
        <v>788</v>
      </c>
      <c r="T58" t="s">
        <v>782</v>
      </c>
      <c r="U58">
        <v>599</v>
      </c>
      <c r="V58" t="str">
        <f>IF(rec_Refunds[[#This Row],[Return_Status]]="","FAIL","PASS")</f>
        <v>PASS</v>
      </c>
      <c r="W58" t="str">
        <f>IF(rec_Refunds[[#This Row],[Return_Status]]="","N/A",IF(rec_Refunds[[#This Row],[Return_Status]]="Received","PASS","FAIL"))</f>
        <v>PASS</v>
      </c>
      <c r="X58" t="str">
        <f>IF(rec_Refunds[[#This Row],[Payment_Status]]="Success","PASS","FAIL")</f>
        <v>PASS</v>
      </c>
      <c r="Y58" t="str">
        <f>IF(rec_Refunds[[#This Row],[R3_Payment_Success]]="FAIL","N/A",IF(rec_Refunds[[#This Row],[Refund_Amount]]&gt;rec_Refunds[[#This Row],[Amount_Paid]],"FAIL","PASS"))</f>
        <v>PASS</v>
      </c>
      <c r="Z58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58" t="str">
        <f>IF(rec_Refunds[[#This Row],[Return_Request_Date]]="","N/A",IF(rec_Refunds[[#This Row],[Return_Request_Date]]-rec_Refunds[[#This Row],[Order_Date]]&gt;30,"FAIL","PASS"))</f>
        <v>PASS</v>
      </c>
      <c r="AB58" t="str">
        <f>IF(rec_Refunds[[#This Row],[Return_Request_Date]]="","N/A",IF(rec_Refunds[[#This Row],[Return_Request_Date]]&lt;rec_Refunds[[#This Row],[Order_Date]],"CHECK","OK"))</f>
        <v>OK</v>
      </c>
      <c r="AC58">
        <f>COUNTIF(rec_Refunds[[#This Row],[R1_Has_Return]:[R6_Within_Window]],"FAIL")</f>
        <v>0</v>
      </c>
      <c r="AD58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58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58">
        <f>IF(rec_Refunds[[#This Row],[Exception_Type]]="None",0,1)</f>
        <v>0</v>
      </c>
      <c r="AG58" t="str">
        <f>TEXT(rec_Refunds[[#This Row],[Refund_Date]],"yyyy-mm")</f>
        <v>2026-04</v>
      </c>
    </row>
    <row r="59" spans="1:33">
      <c r="A59" t="s">
        <v>1355</v>
      </c>
      <c r="B59" t="s">
        <v>1245</v>
      </c>
      <c r="C59" t="s">
        <v>721</v>
      </c>
      <c r="D59" s="6">
        <v>46072</v>
      </c>
      <c r="E59">
        <v>1199</v>
      </c>
      <c r="F59" t="s">
        <v>1311</v>
      </c>
      <c r="G59" t="s">
        <v>1323</v>
      </c>
      <c r="H59" t="s">
        <v>1409</v>
      </c>
      <c r="I59" s="6">
        <v>46059</v>
      </c>
      <c r="J59" t="s">
        <v>1185</v>
      </c>
      <c r="K59" s="6">
        <v>46066</v>
      </c>
      <c r="L59" t="s">
        <v>1420</v>
      </c>
      <c r="M59" s="6">
        <v>46039</v>
      </c>
      <c r="N59" t="s">
        <v>21</v>
      </c>
      <c r="O59" t="s">
        <v>47</v>
      </c>
      <c r="P59" t="s">
        <v>128</v>
      </c>
      <c r="Q59">
        <v>1199</v>
      </c>
      <c r="R59" t="s">
        <v>17</v>
      </c>
      <c r="S59" t="s">
        <v>781</v>
      </c>
      <c r="T59" t="s">
        <v>782</v>
      </c>
      <c r="U59">
        <v>1199</v>
      </c>
      <c r="V59" t="str">
        <f>IF(rec_Refunds[[#This Row],[Return_Status]]="","FAIL","PASS")</f>
        <v>PASS</v>
      </c>
      <c r="W59" t="str">
        <f>IF(rec_Refunds[[#This Row],[Return_Status]]="","N/A",IF(rec_Refunds[[#This Row],[Return_Status]]="Received","PASS","FAIL"))</f>
        <v>PASS</v>
      </c>
      <c r="X59" t="str">
        <f>IF(rec_Refunds[[#This Row],[Payment_Status]]="Success","PASS","FAIL")</f>
        <v>PASS</v>
      </c>
      <c r="Y59" t="str">
        <f>IF(rec_Refunds[[#This Row],[R3_Payment_Success]]="FAIL","N/A",IF(rec_Refunds[[#This Row],[Refund_Amount]]&gt;rec_Refunds[[#This Row],[Amount_Paid]],"FAIL","PASS"))</f>
        <v>PASS</v>
      </c>
      <c r="Z59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59" t="str">
        <f>IF(rec_Refunds[[#This Row],[Return_Request_Date]]="","N/A",IF(rec_Refunds[[#This Row],[Return_Request_Date]]-rec_Refunds[[#This Row],[Order_Date]]&gt;30,"FAIL","PASS"))</f>
        <v>PASS</v>
      </c>
      <c r="AB59" t="str">
        <f>IF(rec_Refunds[[#This Row],[Return_Request_Date]]="","N/A",IF(rec_Refunds[[#This Row],[Return_Request_Date]]&lt;rec_Refunds[[#This Row],[Order_Date]],"CHECK","OK"))</f>
        <v>OK</v>
      </c>
      <c r="AC59">
        <f>COUNTIF(rec_Refunds[[#This Row],[R1_Has_Return]:[R6_Within_Window]],"FAIL")</f>
        <v>0</v>
      </c>
      <c r="AD59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59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59">
        <f>IF(rec_Refunds[[#This Row],[Exception_Type]]="None",0,1)</f>
        <v>0</v>
      </c>
      <c r="AG59" t="str">
        <f>TEXT(rec_Refunds[[#This Row],[Refund_Date]],"yyyy-mm")</f>
        <v>2026-02</v>
      </c>
    </row>
    <row r="60" spans="1:33">
      <c r="A60" t="s">
        <v>1321</v>
      </c>
      <c r="B60" t="s">
        <v>1190</v>
      </c>
      <c r="C60" t="s">
        <v>600</v>
      </c>
      <c r="D60" s="6">
        <v>46099</v>
      </c>
      <c r="E60">
        <v>999</v>
      </c>
      <c r="F60" t="s">
        <v>1311</v>
      </c>
      <c r="G60" t="s">
        <v>1312</v>
      </c>
      <c r="H60" t="s">
        <v>1409</v>
      </c>
      <c r="I60" s="6">
        <v>46086</v>
      </c>
      <c r="J60" t="s">
        <v>1185</v>
      </c>
      <c r="K60" s="6">
        <v>46094</v>
      </c>
      <c r="L60" t="s">
        <v>1419</v>
      </c>
      <c r="M60" s="6">
        <v>46068</v>
      </c>
      <c r="N60" t="s">
        <v>64</v>
      </c>
      <c r="O60" t="s">
        <v>36</v>
      </c>
      <c r="P60" t="s">
        <v>141</v>
      </c>
      <c r="Q60">
        <v>999</v>
      </c>
      <c r="R60" t="s">
        <v>17</v>
      </c>
      <c r="S60" t="s">
        <v>786</v>
      </c>
      <c r="T60" t="s">
        <v>782</v>
      </c>
      <c r="U60">
        <v>999</v>
      </c>
      <c r="V60" t="str">
        <f>IF(rec_Refunds[[#This Row],[Return_Status]]="","FAIL","PASS")</f>
        <v>PASS</v>
      </c>
      <c r="W60" t="str">
        <f>IF(rec_Refunds[[#This Row],[Return_Status]]="","N/A",IF(rec_Refunds[[#This Row],[Return_Status]]="Received","PASS","FAIL"))</f>
        <v>PASS</v>
      </c>
      <c r="X60" t="str">
        <f>IF(rec_Refunds[[#This Row],[Payment_Status]]="Success","PASS","FAIL")</f>
        <v>PASS</v>
      </c>
      <c r="Y60" t="str">
        <f>IF(rec_Refunds[[#This Row],[R3_Payment_Success]]="FAIL","N/A",IF(rec_Refunds[[#This Row],[Refund_Amount]]&gt;rec_Refunds[[#This Row],[Amount_Paid]],"FAIL","PASS"))</f>
        <v>PASS</v>
      </c>
      <c r="Z60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60" t="str">
        <f>IF(rec_Refunds[[#This Row],[Return_Request_Date]]="","N/A",IF(rec_Refunds[[#This Row],[Return_Request_Date]]-rec_Refunds[[#This Row],[Order_Date]]&gt;30,"FAIL","PASS"))</f>
        <v>PASS</v>
      </c>
      <c r="AB60" t="str">
        <f>IF(rec_Refunds[[#This Row],[Return_Request_Date]]="","N/A",IF(rec_Refunds[[#This Row],[Return_Request_Date]]&lt;rec_Refunds[[#This Row],[Order_Date]],"CHECK","OK"))</f>
        <v>OK</v>
      </c>
      <c r="AC60">
        <f>COUNTIF(rec_Refunds[[#This Row],[R1_Has_Return]:[R6_Within_Window]],"FAIL")</f>
        <v>0</v>
      </c>
      <c r="AD60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60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60">
        <f>IF(rec_Refunds[[#This Row],[Exception_Type]]="None",0,1)</f>
        <v>0</v>
      </c>
      <c r="AG60" t="str">
        <f>TEXT(rec_Refunds[[#This Row],[Refund_Date]],"yyyy-mm")</f>
        <v>2026-03</v>
      </c>
    </row>
    <row r="61" spans="1:33">
      <c r="A61" t="s">
        <v>1395</v>
      </c>
      <c r="B61" t="s">
        <v>1190</v>
      </c>
      <c r="C61" t="s">
        <v>600</v>
      </c>
      <c r="D61" s="6">
        <v>46101</v>
      </c>
      <c r="E61">
        <v>999</v>
      </c>
      <c r="F61" t="s">
        <v>1311</v>
      </c>
      <c r="G61" t="s">
        <v>1312</v>
      </c>
      <c r="H61" t="s">
        <v>1409</v>
      </c>
      <c r="I61" s="6">
        <v>46086</v>
      </c>
      <c r="J61" t="s">
        <v>1185</v>
      </c>
      <c r="K61" s="6">
        <v>46094</v>
      </c>
      <c r="L61" t="s">
        <v>1419</v>
      </c>
      <c r="M61" s="6">
        <v>46068</v>
      </c>
      <c r="N61" t="s">
        <v>64</v>
      </c>
      <c r="O61" t="s">
        <v>36</v>
      </c>
      <c r="P61" t="s">
        <v>141</v>
      </c>
      <c r="Q61">
        <v>999</v>
      </c>
      <c r="R61" t="s">
        <v>17</v>
      </c>
      <c r="S61" t="s">
        <v>786</v>
      </c>
      <c r="T61" t="s">
        <v>782</v>
      </c>
      <c r="U61">
        <v>999</v>
      </c>
      <c r="V61" t="str">
        <f>IF(rec_Refunds[[#This Row],[Return_Status]]="","FAIL","PASS")</f>
        <v>PASS</v>
      </c>
      <c r="W61" t="str">
        <f>IF(rec_Refunds[[#This Row],[Return_Status]]="","N/A",IF(rec_Refunds[[#This Row],[Return_Status]]="Received","PASS","FAIL"))</f>
        <v>PASS</v>
      </c>
      <c r="X61" t="str">
        <f>IF(rec_Refunds[[#This Row],[Payment_Status]]="Success","PASS","FAIL")</f>
        <v>PASS</v>
      </c>
      <c r="Y61" t="str">
        <f>IF(rec_Refunds[[#This Row],[R3_Payment_Success]]="FAIL","N/A",IF(rec_Refunds[[#This Row],[Refund_Amount]]&gt;rec_Refunds[[#This Row],[Amount_Paid]],"FAIL","PASS"))</f>
        <v>PASS</v>
      </c>
      <c r="Z61" t="str">
        <f>IF(rec_Refunds[[#This Row],[Return_ID]]="","N/A",IF(COUNTIFS(rec_Refunds[Return_ID],rec_Refunds[[#This Row],[Return_ID]],rec_Refunds[Refund_Date],"&lt;"&amp;rec_Refunds[[#This Row],[Refund_Date]])&gt;0,"FAIL","PASS"))</f>
        <v>FAIL</v>
      </c>
      <c r="AA61" t="str">
        <f>IF(rec_Refunds[[#This Row],[Return_Request_Date]]="","N/A",IF(rec_Refunds[[#This Row],[Return_Request_Date]]-rec_Refunds[[#This Row],[Order_Date]]&gt;30,"FAIL","PASS"))</f>
        <v>PASS</v>
      </c>
      <c r="AB61" t="str">
        <f>IF(rec_Refunds[[#This Row],[Return_Request_Date]]="","N/A",IF(rec_Refunds[[#This Row],[Return_Request_Date]]&lt;rec_Refunds[[#This Row],[Order_Date]],"CHECK","OK"))</f>
        <v>OK</v>
      </c>
      <c r="AC61">
        <f>COUNTIF(rec_Refunds[[#This Row],[R1_Has_Return]:[R6_Within_Window]],"FAIL")</f>
        <v>1</v>
      </c>
      <c r="AD61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R5 Duplicate refund</v>
      </c>
      <c r="AE61">
        <f>IF(rec_Refunds[[#This Row],[Exception_Type]]="None",0,IF(LEFT(rec_Refunds[[#This Row],[Exception_Type]],2)="R4",rec_Refunds[[#This Row],[Refund_Amount]]-rec_Refunds[[#This Row],[Amount_Paid]],rec_Refunds[[#This Row],[Refund_Amount]]))</f>
        <v>999</v>
      </c>
      <c r="AF61">
        <f>IF(rec_Refunds[[#This Row],[Exception_Type]]="None",0,1)</f>
        <v>1</v>
      </c>
      <c r="AG61" t="str">
        <f>TEXT(rec_Refunds[[#This Row],[Refund_Date]],"yyyy-mm")</f>
        <v>2026-03</v>
      </c>
    </row>
    <row r="62" spans="1:33">
      <c r="A62" t="s">
        <v>1402</v>
      </c>
      <c r="C62" t="s">
        <v>466</v>
      </c>
      <c r="D62" s="6">
        <v>46227</v>
      </c>
      <c r="E62">
        <v>6598</v>
      </c>
      <c r="F62" t="s">
        <v>1314</v>
      </c>
      <c r="G62" t="s">
        <v>1320</v>
      </c>
      <c r="H62" t="s">
        <v>1409</v>
      </c>
      <c r="I62" s="6"/>
      <c r="K62" s="6"/>
      <c r="M62" s="6">
        <v>46068</v>
      </c>
      <c r="N62" t="s">
        <v>217</v>
      </c>
      <c r="O62" t="s">
        <v>22</v>
      </c>
      <c r="P62" t="s">
        <v>23</v>
      </c>
      <c r="Q62">
        <v>6598</v>
      </c>
      <c r="R62" t="s">
        <v>17</v>
      </c>
      <c r="S62" t="s">
        <v>781</v>
      </c>
      <c r="T62" t="s">
        <v>782</v>
      </c>
      <c r="U62">
        <v>6598</v>
      </c>
      <c r="V62" t="str">
        <f>IF(rec_Refunds[[#This Row],[Return_Status]]="","FAIL","PASS")</f>
        <v>FAIL</v>
      </c>
      <c r="W62" t="str">
        <f>IF(rec_Refunds[[#This Row],[Return_Status]]="","N/A",IF(rec_Refunds[[#This Row],[Return_Status]]="Received","PASS","FAIL"))</f>
        <v>N/A</v>
      </c>
      <c r="X62" t="str">
        <f>IF(rec_Refunds[[#This Row],[Payment_Status]]="Success","PASS","FAIL")</f>
        <v>PASS</v>
      </c>
      <c r="Y62" t="str">
        <f>IF(rec_Refunds[[#This Row],[R3_Payment_Success]]="FAIL","N/A",IF(rec_Refunds[[#This Row],[Refund_Amount]]&gt;rec_Refunds[[#This Row],[Amount_Paid]],"FAIL","PASS"))</f>
        <v>PASS</v>
      </c>
      <c r="Z62" t="str">
        <f>IF(rec_Refunds[[#This Row],[Return_ID]]="","N/A",IF(COUNTIFS(rec_Refunds[Return_ID],rec_Refunds[[#This Row],[Return_ID]],rec_Refunds[Refund_Date],"&lt;"&amp;rec_Refunds[[#This Row],[Refund_Date]])&gt;0,"FAIL","PASS"))</f>
        <v>N/A</v>
      </c>
      <c r="AA62" t="str">
        <f>IF(rec_Refunds[[#This Row],[Return_Request_Date]]="","N/A",IF(rec_Refunds[[#This Row],[Return_Request_Date]]-rec_Refunds[[#This Row],[Order_Date]]&gt;30,"FAIL","PASS"))</f>
        <v>N/A</v>
      </c>
      <c r="AB62" t="str">
        <f>IF(rec_Refunds[[#This Row],[Return_Request_Date]]="","N/A",IF(rec_Refunds[[#This Row],[Return_Request_Date]]&lt;rec_Refunds[[#This Row],[Order_Date]],"CHECK","OK"))</f>
        <v>N/A</v>
      </c>
      <c r="AC62">
        <f>COUNTIF(rec_Refunds[[#This Row],[R1_Has_Return]:[R6_Within_Window]],"FAIL")</f>
        <v>1</v>
      </c>
      <c r="AD62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R1 No return record</v>
      </c>
      <c r="AE62">
        <f>IF(rec_Refunds[[#This Row],[Exception_Type]]="None",0,IF(LEFT(rec_Refunds[[#This Row],[Exception_Type]],2)="R4",rec_Refunds[[#This Row],[Refund_Amount]]-rec_Refunds[[#This Row],[Amount_Paid]],rec_Refunds[[#This Row],[Refund_Amount]]))</f>
        <v>6598</v>
      </c>
      <c r="AF62">
        <f>IF(rec_Refunds[[#This Row],[Exception_Type]]="None",0,1)</f>
        <v>1</v>
      </c>
      <c r="AG62" t="str">
        <f>TEXT(rec_Refunds[[#This Row],[Refund_Date]],"yyyy-mm")</f>
        <v>2026-07</v>
      </c>
    </row>
    <row r="63" spans="1:33">
      <c r="A63" t="s">
        <v>1381</v>
      </c>
      <c r="B63" t="s">
        <v>1287</v>
      </c>
      <c r="C63" t="s">
        <v>388</v>
      </c>
      <c r="D63" s="6">
        <v>46200</v>
      </c>
      <c r="E63">
        <v>1598</v>
      </c>
      <c r="F63" t="s">
        <v>1317</v>
      </c>
      <c r="G63" t="s">
        <v>1320</v>
      </c>
      <c r="H63" t="s">
        <v>1409</v>
      </c>
      <c r="I63" s="6">
        <v>46191</v>
      </c>
      <c r="J63" t="s">
        <v>1185</v>
      </c>
      <c r="K63" s="6">
        <v>46195</v>
      </c>
      <c r="L63" t="s">
        <v>1422</v>
      </c>
      <c r="M63" s="6">
        <v>46174</v>
      </c>
      <c r="N63" t="s">
        <v>64</v>
      </c>
      <c r="O63" t="s">
        <v>36</v>
      </c>
      <c r="P63" t="s">
        <v>151</v>
      </c>
      <c r="Q63">
        <v>1598</v>
      </c>
      <c r="R63" t="s">
        <v>17</v>
      </c>
      <c r="S63" t="s">
        <v>790</v>
      </c>
      <c r="T63" t="s">
        <v>782</v>
      </c>
      <c r="U63">
        <v>1598</v>
      </c>
      <c r="V63" t="str">
        <f>IF(rec_Refunds[[#This Row],[Return_Status]]="","FAIL","PASS")</f>
        <v>PASS</v>
      </c>
      <c r="W63" t="str">
        <f>IF(rec_Refunds[[#This Row],[Return_Status]]="","N/A",IF(rec_Refunds[[#This Row],[Return_Status]]="Received","PASS","FAIL"))</f>
        <v>PASS</v>
      </c>
      <c r="X63" t="str">
        <f>IF(rec_Refunds[[#This Row],[Payment_Status]]="Success","PASS","FAIL")</f>
        <v>PASS</v>
      </c>
      <c r="Y63" t="str">
        <f>IF(rec_Refunds[[#This Row],[R3_Payment_Success]]="FAIL","N/A",IF(rec_Refunds[[#This Row],[Refund_Amount]]&gt;rec_Refunds[[#This Row],[Amount_Paid]],"FAIL","PASS"))</f>
        <v>PASS</v>
      </c>
      <c r="Z63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63" t="str">
        <f>IF(rec_Refunds[[#This Row],[Return_Request_Date]]="","N/A",IF(rec_Refunds[[#This Row],[Return_Request_Date]]-rec_Refunds[[#This Row],[Order_Date]]&gt;30,"FAIL","PASS"))</f>
        <v>PASS</v>
      </c>
      <c r="AB63" t="str">
        <f>IF(rec_Refunds[[#This Row],[Return_Request_Date]]="","N/A",IF(rec_Refunds[[#This Row],[Return_Request_Date]]&lt;rec_Refunds[[#This Row],[Order_Date]],"CHECK","OK"))</f>
        <v>OK</v>
      </c>
      <c r="AC63">
        <f>COUNTIF(rec_Refunds[[#This Row],[R1_Has_Return]:[R6_Within_Window]],"FAIL")</f>
        <v>0</v>
      </c>
      <c r="AD63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63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63">
        <f>IF(rec_Refunds[[#This Row],[Exception_Type]]="None",0,1)</f>
        <v>0</v>
      </c>
      <c r="AG63" t="str">
        <f>TEXT(rec_Refunds[[#This Row],[Refund_Date]],"yyyy-mm")</f>
        <v>2026-06</v>
      </c>
    </row>
    <row r="64" spans="1:33">
      <c r="A64" t="s">
        <v>1382</v>
      </c>
      <c r="B64" t="s">
        <v>1288</v>
      </c>
      <c r="C64" t="s">
        <v>651</v>
      </c>
      <c r="D64" s="6">
        <v>46071</v>
      </c>
      <c r="E64">
        <v>499</v>
      </c>
      <c r="F64" t="s">
        <v>1311</v>
      </c>
      <c r="G64" t="s">
        <v>1318</v>
      </c>
      <c r="H64" t="s">
        <v>1409</v>
      </c>
      <c r="I64" s="6">
        <v>46064</v>
      </c>
      <c r="J64" t="s">
        <v>1185</v>
      </c>
      <c r="K64" s="6">
        <v>46069</v>
      </c>
      <c r="L64" t="s">
        <v>1422</v>
      </c>
      <c r="M64" s="6">
        <v>46043</v>
      </c>
      <c r="N64" t="s">
        <v>14</v>
      </c>
      <c r="O64" t="s">
        <v>47</v>
      </c>
      <c r="P64" t="s">
        <v>48</v>
      </c>
      <c r="Q64">
        <v>499</v>
      </c>
      <c r="R64" t="s">
        <v>17</v>
      </c>
      <c r="S64" t="s">
        <v>786</v>
      </c>
      <c r="T64" t="s">
        <v>782</v>
      </c>
      <c r="U64">
        <v>499</v>
      </c>
      <c r="V64" t="str">
        <f>IF(rec_Refunds[[#This Row],[Return_Status]]="","FAIL","PASS")</f>
        <v>PASS</v>
      </c>
      <c r="W64" t="str">
        <f>IF(rec_Refunds[[#This Row],[Return_Status]]="","N/A",IF(rec_Refunds[[#This Row],[Return_Status]]="Received","PASS","FAIL"))</f>
        <v>PASS</v>
      </c>
      <c r="X64" t="str">
        <f>IF(rec_Refunds[[#This Row],[Payment_Status]]="Success","PASS","FAIL")</f>
        <v>PASS</v>
      </c>
      <c r="Y64" t="str">
        <f>IF(rec_Refunds[[#This Row],[R3_Payment_Success]]="FAIL","N/A",IF(rec_Refunds[[#This Row],[Refund_Amount]]&gt;rec_Refunds[[#This Row],[Amount_Paid]],"FAIL","PASS"))</f>
        <v>PASS</v>
      </c>
      <c r="Z64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64" t="str">
        <f>IF(rec_Refunds[[#This Row],[Return_Request_Date]]="","N/A",IF(rec_Refunds[[#This Row],[Return_Request_Date]]-rec_Refunds[[#This Row],[Order_Date]]&gt;30,"FAIL","PASS"))</f>
        <v>PASS</v>
      </c>
      <c r="AB64" t="str">
        <f>IF(rec_Refunds[[#This Row],[Return_Request_Date]]="","N/A",IF(rec_Refunds[[#This Row],[Return_Request_Date]]&lt;rec_Refunds[[#This Row],[Order_Date]],"CHECK","OK"))</f>
        <v>OK</v>
      </c>
      <c r="AC64">
        <f>COUNTIF(rec_Refunds[[#This Row],[R1_Has_Return]:[R6_Within_Window]],"FAIL")</f>
        <v>0</v>
      </c>
      <c r="AD64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64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64">
        <f>IF(rec_Refunds[[#This Row],[Exception_Type]]="None",0,1)</f>
        <v>0</v>
      </c>
      <c r="AG64" t="str">
        <f>TEXT(rec_Refunds[[#This Row],[Refund_Date]],"yyyy-mm")</f>
        <v>2026-02</v>
      </c>
    </row>
    <row r="65" spans="1:33">
      <c r="A65" t="s">
        <v>1403</v>
      </c>
      <c r="B65" t="s">
        <v>1404</v>
      </c>
      <c r="C65" t="s">
        <v>531</v>
      </c>
      <c r="D65" s="6">
        <v>46193</v>
      </c>
      <c r="E65">
        <v>499</v>
      </c>
      <c r="F65" t="s">
        <v>1314</v>
      </c>
      <c r="G65" t="s">
        <v>1312</v>
      </c>
      <c r="H65" t="s">
        <v>1409</v>
      </c>
      <c r="I65" s="6"/>
      <c r="K65" s="6"/>
      <c r="M65" s="6">
        <v>46093</v>
      </c>
      <c r="N65" t="s">
        <v>21</v>
      </c>
      <c r="O65" t="s">
        <v>47</v>
      </c>
      <c r="P65" t="s">
        <v>48</v>
      </c>
      <c r="Q65">
        <v>499</v>
      </c>
      <c r="R65" t="s">
        <v>17</v>
      </c>
      <c r="S65" t="s">
        <v>788</v>
      </c>
      <c r="T65" t="s">
        <v>782</v>
      </c>
      <c r="U65">
        <v>499</v>
      </c>
      <c r="V65" t="str">
        <f>IF(rec_Refunds[[#This Row],[Return_Status]]="","FAIL","PASS")</f>
        <v>FAIL</v>
      </c>
      <c r="W65" t="str">
        <f>IF(rec_Refunds[[#This Row],[Return_Status]]="","N/A",IF(rec_Refunds[[#This Row],[Return_Status]]="Received","PASS","FAIL"))</f>
        <v>N/A</v>
      </c>
      <c r="X65" t="str">
        <f>IF(rec_Refunds[[#This Row],[Payment_Status]]="Success","PASS","FAIL")</f>
        <v>PASS</v>
      </c>
      <c r="Y65" t="str">
        <f>IF(rec_Refunds[[#This Row],[R3_Payment_Success]]="FAIL","N/A",IF(rec_Refunds[[#This Row],[Refund_Amount]]&gt;rec_Refunds[[#This Row],[Amount_Paid]],"FAIL","PASS"))</f>
        <v>PASS</v>
      </c>
      <c r="Z65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65" t="str">
        <f>IF(rec_Refunds[[#This Row],[Return_Request_Date]]="","N/A",IF(rec_Refunds[[#This Row],[Return_Request_Date]]-rec_Refunds[[#This Row],[Order_Date]]&gt;30,"FAIL","PASS"))</f>
        <v>N/A</v>
      </c>
      <c r="AB65" t="str">
        <f>IF(rec_Refunds[[#This Row],[Return_Request_Date]]="","N/A",IF(rec_Refunds[[#This Row],[Return_Request_Date]]&lt;rec_Refunds[[#This Row],[Order_Date]],"CHECK","OK"))</f>
        <v>N/A</v>
      </c>
      <c r="AC65">
        <f>COUNTIF(rec_Refunds[[#This Row],[R1_Has_Return]:[R6_Within_Window]],"FAIL")</f>
        <v>1</v>
      </c>
      <c r="AD65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R1 No return record</v>
      </c>
      <c r="AE65">
        <f>IF(rec_Refunds[[#This Row],[Exception_Type]]="None",0,IF(LEFT(rec_Refunds[[#This Row],[Exception_Type]],2)="R4",rec_Refunds[[#This Row],[Refund_Amount]]-rec_Refunds[[#This Row],[Amount_Paid]],rec_Refunds[[#This Row],[Refund_Amount]]))</f>
        <v>499</v>
      </c>
      <c r="AF65">
        <f>IF(rec_Refunds[[#This Row],[Exception_Type]]="None",0,1)</f>
        <v>1</v>
      </c>
      <c r="AG65" t="str">
        <f>TEXT(rec_Refunds[[#This Row],[Refund_Date]],"yyyy-mm")</f>
        <v>2026-06</v>
      </c>
    </row>
    <row r="66" spans="1:33">
      <c r="A66" t="s">
        <v>1356</v>
      </c>
      <c r="B66" t="s">
        <v>1246</v>
      </c>
      <c r="C66" t="s">
        <v>290</v>
      </c>
      <c r="D66" s="6">
        <v>46112</v>
      </c>
      <c r="E66">
        <v>2299</v>
      </c>
      <c r="F66" t="s">
        <v>1317</v>
      </c>
      <c r="G66" t="s">
        <v>1323</v>
      </c>
      <c r="H66" t="s">
        <v>1426</v>
      </c>
      <c r="I66" s="6">
        <v>46105</v>
      </c>
      <c r="J66" t="s">
        <v>1185</v>
      </c>
      <c r="K66" s="6">
        <v>46111</v>
      </c>
      <c r="L66" t="s">
        <v>1423</v>
      </c>
      <c r="M66" s="6">
        <v>46094</v>
      </c>
      <c r="N66" t="s">
        <v>14</v>
      </c>
      <c r="O66" t="s">
        <v>36</v>
      </c>
      <c r="P66" t="s">
        <v>37</v>
      </c>
      <c r="Q66">
        <v>2299</v>
      </c>
      <c r="R66" t="s">
        <v>17</v>
      </c>
      <c r="S66" t="s">
        <v>781</v>
      </c>
      <c r="T66" t="s">
        <v>782</v>
      </c>
      <c r="U66">
        <v>2299</v>
      </c>
      <c r="V66" t="str">
        <f>IF(rec_Refunds[[#This Row],[Return_Status]]="","FAIL","PASS")</f>
        <v>PASS</v>
      </c>
      <c r="W66" t="str">
        <f>IF(rec_Refunds[[#This Row],[Return_Status]]="","N/A",IF(rec_Refunds[[#This Row],[Return_Status]]="Received","PASS","FAIL"))</f>
        <v>PASS</v>
      </c>
      <c r="X66" t="str">
        <f>IF(rec_Refunds[[#This Row],[Payment_Status]]="Success","PASS","FAIL")</f>
        <v>PASS</v>
      </c>
      <c r="Y66" t="str">
        <f>IF(rec_Refunds[[#This Row],[R3_Payment_Success]]="FAIL","N/A",IF(rec_Refunds[[#This Row],[Refund_Amount]]&gt;rec_Refunds[[#This Row],[Amount_Paid]],"FAIL","PASS"))</f>
        <v>PASS</v>
      </c>
      <c r="Z66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66" t="str">
        <f>IF(rec_Refunds[[#This Row],[Return_Request_Date]]="","N/A",IF(rec_Refunds[[#This Row],[Return_Request_Date]]-rec_Refunds[[#This Row],[Order_Date]]&gt;30,"FAIL","PASS"))</f>
        <v>PASS</v>
      </c>
      <c r="AB66" t="str">
        <f>IF(rec_Refunds[[#This Row],[Return_Request_Date]]="","N/A",IF(rec_Refunds[[#This Row],[Return_Request_Date]]&lt;rec_Refunds[[#This Row],[Order_Date]],"CHECK","OK"))</f>
        <v>OK</v>
      </c>
      <c r="AC66">
        <f>COUNTIF(rec_Refunds[[#This Row],[R1_Has_Return]:[R6_Within_Window]],"FAIL")</f>
        <v>0</v>
      </c>
      <c r="AD66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66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66">
        <f>IF(rec_Refunds[[#This Row],[Exception_Type]]="None",0,1)</f>
        <v>0</v>
      </c>
      <c r="AG66" t="str">
        <f>TEXT(rec_Refunds[[#This Row],[Refund_Date]],"yyyy-mm")</f>
        <v>2026-03</v>
      </c>
    </row>
    <row r="67" spans="1:33">
      <c r="A67" t="s">
        <v>1347</v>
      </c>
      <c r="B67" t="s">
        <v>1237</v>
      </c>
      <c r="C67" t="s">
        <v>525</v>
      </c>
      <c r="D67" s="6">
        <v>46209</v>
      </c>
      <c r="E67">
        <v>2299</v>
      </c>
      <c r="F67" t="s">
        <v>1314</v>
      </c>
      <c r="G67" t="s">
        <v>1318</v>
      </c>
      <c r="H67" t="s">
        <v>1409</v>
      </c>
      <c r="I67" s="6">
        <v>46199</v>
      </c>
      <c r="J67" t="s">
        <v>1185</v>
      </c>
      <c r="K67" s="6">
        <v>46204</v>
      </c>
      <c r="L67" t="s">
        <v>1203</v>
      </c>
      <c r="M67" s="6">
        <v>46194</v>
      </c>
      <c r="N67" t="s">
        <v>30</v>
      </c>
      <c r="O67" t="s">
        <v>36</v>
      </c>
      <c r="P67" t="s">
        <v>37</v>
      </c>
      <c r="Q67">
        <v>2299</v>
      </c>
      <c r="R67" t="s">
        <v>17</v>
      </c>
      <c r="S67" t="s">
        <v>790</v>
      </c>
      <c r="T67" t="s">
        <v>782</v>
      </c>
      <c r="U67">
        <v>2299</v>
      </c>
      <c r="V67" t="str">
        <f>IF(rec_Refunds[[#This Row],[Return_Status]]="","FAIL","PASS")</f>
        <v>PASS</v>
      </c>
      <c r="W67" t="str">
        <f>IF(rec_Refunds[[#This Row],[Return_Status]]="","N/A",IF(rec_Refunds[[#This Row],[Return_Status]]="Received","PASS","FAIL"))</f>
        <v>PASS</v>
      </c>
      <c r="X67" t="str">
        <f>IF(rec_Refunds[[#This Row],[Payment_Status]]="Success","PASS","FAIL")</f>
        <v>PASS</v>
      </c>
      <c r="Y67" t="str">
        <f>IF(rec_Refunds[[#This Row],[R3_Payment_Success]]="FAIL","N/A",IF(rec_Refunds[[#This Row],[Refund_Amount]]&gt;rec_Refunds[[#This Row],[Amount_Paid]],"FAIL","PASS"))</f>
        <v>PASS</v>
      </c>
      <c r="Z67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67" t="str">
        <f>IF(rec_Refunds[[#This Row],[Return_Request_Date]]="","N/A",IF(rec_Refunds[[#This Row],[Return_Request_Date]]-rec_Refunds[[#This Row],[Order_Date]]&gt;30,"FAIL","PASS"))</f>
        <v>PASS</v>
      </c>
      <c r="AB67" t="str">
        <f>IF(rec_Refunds[[#This Row],[Return_Request_Date]]="","N/A",IF(rec_Refunds[[#This Row],[Return_Request_Date]]&lt;rec_Refunds[[#This Row],[Order_Date]],"CHECK","OK"))</f>
        <v>OK</v>
      </c>
      <c r="AC67">
        <f>COUNTIF(rec_Refunds[[#This Row],[R1_Has_Return]:[R6_Within_Window]],"FAIL")</f>
        <v>0</v>
      </c>
      <c r="AD67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67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67">
        <f>IF(rec_Refunds[[#This Row],[Exception_Type]]="None",0,1)</f>
        <v>0</v>
      </c>
      <c r="AG67" t="str">
        <f>TEXT(rec_Refunds[[#This Row],[Refund_Date]],"yyyy-mm")</f>
        <v>2026-07</v>
      </c>
    </row>
    <row r="68" spans="1:33">
      <c r="A68" t="s">
        <v>1371</v>
      </c>
      <c r="B68" t="s">
        <v>1266</v>
      </c>
      <c r="C68" t="s">
        <v>576</v>
      </c>
      <c r="D68" s="6">
        <v>46077</v>
      </c>
      <c r="E68">
        <v>6998</v>
      </c>
      <c r="F68" t="s">
        <v>1311</v>
      </c>
      <c r="G68" t="s">
        <v>1323</v>
      </c>
      <c r="H68" t="s">
        <v>1409</v>
      </c>
      <c r="I68" s="6">
        <v>46072</v>
      </c>
      <c r="J68" t="s">
        <v>1185</v>
      </c>
      <c r="K68" s="6">
        <v>46076</v>
      </c>
      <c r="L68" t="s">
        <v>1420</v>
      </c>
      <c r="M68" s="6">
        <v>46062</v>
      </c>
      <c r="N68" t="s">
        <v>104</v>
      </c>
      <c r="O68" t="s">
        <v>47</v>
      </c>
      <c r="P68" t="s">
        <v>56</v>
      </c>
      <c r="Q68">
        <v>6998</v>
      </c>
      <c r="R68" t="s">
        <v>17</v>
      </c>
      <c r="S68" t="s">
        <v>790</v>
      </c>
      <c r="T68" t="s">
        <v>782</v>
      </c>
      <c r="U68">
        <v>6998</v>
      </c>
      <c r="V68" t="str">
        <f>IF(rec_Refunds[[#This Row],[Return_Status]]="","FAIL","PASS")</f>
        <v>PASS</v>
      </c>
      <c r="W68" t="str">
        <f>IF(rec_Refunds[[#This Row],[Return_Status]]="","N/A",IF(rec_Refunds[[#This Row],[Return_Status]]="Received","PASS","FAIL"))</f>
        <v>PASS</v>
      </c>
      <c r="X68" t="str">
        <f>IF(rec_Refunds[[#This Row],[Payment_Status]]="Success","PASS","FAIL")</f>
        <v>PASS</v>
      </c>
      <c r="Y68" t="str">
        <f>IF(rec_Refunds[[#This Row],[R3_Payment_Success]]="FAIL","N/A",IF(rec_Refunds[[#This Row],[Refund_Amount]]&gt;rec_Refunds[[#This Row],[Amount_Paid]],"FAIL","PASS"))</f>
        <v>PASS</v>
      </c>
      <c r="Z68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68" t="str">
        <f>IF(rec_Refunds[[#This Row],[Return_Request_Date]]="","N/A",IF(rec_Refunds[[#This Row],[Return_Request_Date]]-rec_Refunds[[#This Row],[Order_Date]]&gt;30,"FAIL","PASS"))</f>
        <v>PASS</v>
      </c>
      <c r="AB68" t="str">
        <f>IF(rec_Refunds[[#This Row],[Return_Request_Date]]="","N/A",IF(rec_Refunds[[#This Row],[Return_Request_Date]]&lt;rec_Refunds[[#This Row],[Order_Date]],"CHECK","OK"))</f>
        <v>OK</v>
      </c>
      <c r="AC68">
        <f>COUNTIF(rec_Refunds[[#This Row],[R1_Has_Return]:[R6_Within_Window]],"FAIL")</f>
        <v>0</v>
      </c>
      <c r="AD68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68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68">
        <f>IF(rec_Refunds[[#This Row],[Exception_Type]]="None",0,1)</f>
        <v>0</v>
      </c>
      <c r="AG68" t="str">
        <f>TEXT(rec_Refunds[[#This Row],[Refund_Date]],"yyyy-mm")</f>
        <v>2026-02</v>
      </c>
    </row>
    <row r="69" spans="1:33">
      <c r="A69" t="s">
        <v>1397</v>
      </c>
      <c r="B69" t="s">
        <v>1266</v>
      </c>
      <c r="C69" t="s">
        <v>576</v>
      </c>
      <c r="D69" s="6">
        <v>46079</v>
      </c>
      <c r="E69">
        <v>6998</v>
      </c>
      <c r="F69" t="s">
        <v>1311</v>
      </c>
      <c r="G69" t="s">
        <v>1323</v>
      </c>
      <c r="H69" t="s">
        <v>1409</v>
      </c>
      <c r="I69" s="6">
        <v>46072</v>
      </c>
      <c r="J69" t="s">
        <v>1185</v>
      </c>
      <c r="K69" s="6">
        <v>46076</v>
      </c>
      <c r="L69" t="s">
        <v>1420</v>
      </c>
      <c r="M69" s="6">
        <v>46062</v>
      </c>
      <c r="N69" t="s">
        <v>104</v>
      </c>
      <c r="O69" t="s">
        <v>47</v>
      </c>
      <c r="P69" t="s">
        <v>56</v>
      </c>
      <c r="Q69">
        <v>6998</v>
      </c>
      <c r="R69" t="s">
        <v>17</v>
      </c>
      <c r="S69" t="s">
        <v>790</v>
      </c>
      <c r="T69" t="s">
        <v>782</v>
      </c>
      <c r="U69">
        <v>6998</v>
      </c>
      <c r="V69" t="str">
        <f>IF(rec_Refunds[[#This Row],[Return_Status]]="","FAIL","PASS")</f>
        <v>PASS</v>
      </c>
      <c r="W69" t="str">
        <f>IF(rec_Refunds[[#This Row],[Return_Status]]="","N/A",IF(rec_Refunds[[#This Row],[Return_Status]]="Received","PASS","FAIL"))</f>
        <v>PASS</v>
      </c>
      <c r="X69" t="str">
        <f>IF(rec_Refunds[[#This Row],[Payment_Status]]="Success","PASS","FAIL")</f>
        <v>PASS</v>
      </c>
      <c r="Y69" t="str">
        <f>IF(rec_Refunds[[#This Row],[R3_Payment_Success]]="FAIL","N/A",IF(rec_Refunds[[#This Row],[Refund_Amount]]&gt;rec_Refunds[[#This Row],[Amount_Paid]],"FAIL","PASS"))</f>
        <v>PASS</v>
      </c>
      <c r="Z69" t="str">
        <f>IF(rec_Refunds[[#This Row],[Return_ID]]="","N/A",IF(COUNTIFS(rec_Refunds[Return_ID],rec_Refunds[[#This Row],[Return_ID]],rec_Refunds[Refund_Date],"&lt;"&amp;rec_Refunds[[#This Row],[Refund_Date]])&gt;0,"FAIL","PASS"))</f>
        <v>FAIL</v>
      </c>
      <c r="AA69" t="str">
        <f>IF(rec_Refunds[[#This Row],[Return_Request_Date]]="","N/A",IF(rec_Refunds[[#This Row],[Return_Request_Date]]-rec_Refunds[[#This Row],[Order_Date]]&gt;30,"FAIL","PASS"))</f>
        <v>PASS</v>
      </c>
      <c r="AB69" t="str">
        <f>IF(rec_Refunds[[#This Row],[Return_Request_Date]]="","N/A",IF(rec_Refunds[[#This Row],[Return_Request_Date]]&lt;rec_Refunds[[#This Row],[Order_Date]],"CHECK","OK"))</f>
        <v>OK</v>
      </c>
      <c r="AC69">
        <f>COUNTIF(rec_Refunds[[#This Row],[R1_Has_Return]:[R6_Within_Window]],"FAIL")</f>
        <v>1</v>
      </c>
      <c r="AD69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R5 Duplicate refund</v>
      </c>
      <c r="AE69">
        <f>IF(rec_Refunds[[#This Row],[Exception_Type]]="None",0,IF(LEFT(rec_Refunds[[#This Row],[Exception_Type]],2)="R4",rec_Refunds[[#This Row],[Refund_Amount]]-rec_Refunds[[#This Row],[Amount_Paid]],rec_Refunds[[#This Row],[Refund_Amount]]))</f>
        <v>6998</v>
      </c>
      <c r="AF69">
        <f>IF(rec_Refunds[[#This Row],[Exception_Type]]="None",0,1)</f>
        <v>1</v>
      </c>
      <c r="AG69" t="str">
        <f>TEXT(rec_Refunds[[#This Row],[Refund_Date]],"yyyy-mm")</f>
        <v>2026-02</v>
      </c>
    </row>
    <row r="70" spans="1:33">
      <c r="A70" t="s">
        <v>1324</v>
      </c>
      <c r="B70" t="s">
        <v>1194</v>
      </c>
      <c r="C70" t="s">
        <v>365</v>
      </c>
      <c r="D70" s="6">
        <v>46086</v>
      </c>
      <c r="E70">
        <v>1199</v>
      </c>
      <c r="F70" t="s">
        <v>1314</v>
      </c>
      <c r="G70" t="s">
        <v>1320</v>
      </c>
      <c r="H70" t="s">
        <v>1409</v>
      </c>
      <c r="I70" s="6">
        <v>46054</v>
      </c>
      <c r="J70" t="s">
        <v>1185</v>
      </c>
      <c r="K70" s="6">
        <v>46085</v>
      </c>
      <c r="L70" t="s">
        <v>1421</v>
      </c>
      <c r="M70" s="6">
        <v>46060</v>
      </c>
      <c r="N70" t="s">
        <v>30</v>
      </c>
      <c r="O70" t="s">
        <v>47</v>
      </c>
      <c r="P70" t="s">
        <v>128</v>
      </c>
      <c r="Q70">
        <v>1199</v>
      </c>
      <c r="R70" t="s">
        <v>17</v>
      </c>
      <c r="S70" t="s">
        <v>786</v>
      </c>
      <c r="T70" t="s">
        <v>782</v>
      </c>
      <c r="U70">
        <v>1199</v>
      </c>
      <c r="V70" t="str">
        <f>IF(rec_Refunds[[#This Row],[Return_Status]]="","FAIL","PASS")</f>
        <v>PASS</v>
      </c>
      <c r="W70" t="str">
        <f>IF(rec_Refunds[[#This Row],[Return_Status]]="","N/A",IF(rec_Refunds[[#This Row],[Return_Status]]="Received","PASS","FAIL"))</f>
        <v>PASS</v>
      </c>
      <c r="X70" t="str">
        <f>IF(rec_Refunds[[#This Row],[Payment_Status]]="Success","PASS","FAIL")</f>
        <v>PASS</v>
      </c>
      <c r="Y70" t="str">
        <f>IF(rec_Refunds[[#This Row],[R3_Payment_Success]]="FAIL","N/A",IF(rec_Refunds[[#This Row],[Refund_Amount]]&gt;rec_Refunds[[#This Row],[Amount_Paid]],"FAIL","PASS"))</f>
        <v>PASS</v>
      </c>
      <c r="Z70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70" t="str">
        <f>IF(rec_Refunds[[#This Row],[Return_Request_Date]]="","N/A",IF(rec_Refunds[[#This Row],[Return_Request_Date]]-rec_Refunds[[#This Row],[Order_Date]]&gt;30,"FAIL","PASS"))</f>
        <v>PASS</v>
      </c>
      <c r="AB70" t="str">
        <f>IF(rec_Refunds[[#This Row],[Return_Request_Date]]="","N/A",IF(rec_Refunds[[#This Row],[Return_Request_Date]]&lt;rec_Refunds[[#This Row],[Order_Date]],"CHECK","OK"))</f>
        <v>CHECK</v>
      </c>
      <c r="AC70">
        <f>COUNTIF(rec_Refunds[[#This Row],[R1_Has_Return]:[R6_Within_Window]],"FAIL")</f>
        <v>0</v>
      </c>
      <c r="AD70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70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70">
        <f>IF(rec_Refunds[[#This Row],[Exception_Type]]="None",0,1)</f>
        <v>0</v>
      </c>
      <c r="AG70" t="str">
        <f>TEXT(rec_Refunds[[#This Row],[Refund_Date]],"yyyy-mm")</f>
        <v>2026-03</v>
      </c>
    </row>
    <row r="71" spans="1:33">
      <c r="A71" t="s">
        <v>1343</v>
      </c>
      <c r="B71" t="s">
        <v>1229</v>
      </c>
      <c r="C71" t="s">
        <v>658</v>
      </c>
      <c r="D71" s="6">
        <v>46109</v>
      </c>
      <c r="E71">
        <v>1999</v>
      </c>
      <c r="F71" t="s">
        <v>1314</v>
      </c>
      <c r="G71" t="s">
        <v>1312</v>
      </c>
      <c r="H71" t="s">
        <v>1409</v>
      </c>
      <c r="I71" s="6">
        <v>46104</v>
      </c>
      <c r="J71" t="s">
        <v>1185</v>
      </c>
      <c r="K71" s="6">
        <v>46108</v>
      </c>
      <c r="L71" t="s">
        <v>1422</v>
      </c>
      <c r="M71" s="6">
        <v>46086</v>
      </c>
      <c r="N71" t="s">
        <v>73</v>
      </c>
      <c r="O71" t="s">
        <v>15</v>
      </c>
      <c r="P71" t="s">
        <v>16</v>
      </c>
      <c r="Q71">
        <v>1999</v>
      </c>
      <c r="R71" t="s">
        <v>17</v>
      </c>
      <c r="S71" t="s">
        <v>786</v>
      </c>
      <c r="T71" t="s">
        <v>782</v>
      </c>
      <c r="U71">
        <v>1999</v>
      </c>
      <c r="V71" t="str">
        <f>IF(rec_Refunds[[#This Row],[Return_Status]]="","FAIL","PASS")</f>
        <v>PASS</v>
      </c>
      <c r="W71" t="str">
        <f>IF(rec_Refunds[[#This Row],[Return_Status]]="","N/A",IF(rec_Refunds[[#This Row],[Return_Status]]="Received","PASS","FAIL"))</f>
        <v>PASS</v>
      </c>
      <c r="X71" t="str">
        <f>IF(rec_Refunds[[#This Row],[Payment_Status]]="Success","PASS","FAIL")</f>
        <v>PASS</v>
      </c>
      <c r="Y71" t="str">
        <f>IF(rec_Refunds[[#This Row],[R3_Payment_Success]]="FAIL","N/A",IF(rec_Refunds[[#This Row],[Refund_Amount]]&gt;rec_Refunds[[#This Row],[Amount_Paid]],"FAIL","PASS"))</f>
        <v>PASS</v>
      </c>
      <c r="Z71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71" t="str">
        <f>IF(rec_Refunds[[#This Row],[Return_Request_Date]]="","N/A",IF(rec_Refunds[[#This Row],[Return_Request_Date]]-rec_Refunds[[#This Row],[Order_Date]]&gt;30,"FAIL","PASS"))</f>
        <v>PASS</v>
      </c>
      <c r="AB71" t="str">
        <f>IF(rec_Refunds[[#This Row],[Return_Request_Date]]="","N/A",IF(rec_Refunds[[#This Row],[Return_Request_Date]]&lt;rec_Refunds[[#This Row],[Order_Date]],"CHECK","OK"))</f>
        <v>OK</v>
      </c>
      <c r="AC71">
        <f>COUNTIF(rec_Refunds[[#This Row],[R1_Has_Return]:[R6_Within_Window]],"FAIL")</f>
        <v>0</v>
      </c>
      <c r="AD71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71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71">
        <f>IF(rec_Refunds[[#This Row],[Exception_Type]]="None",0,1)</f>
        <v>0</v>
      </c>
      <c r="AG71" t="str">
        <f>TEXT(rec_Refunds[[#This Row],[Refund_Date]],"yyyy-mm")</f>
        <v>2026-03</v>
      </c>
    </row>
    <row r="72" spans="1:33">
      <c r="A72" t="s">
        <v>1327</v>
      </c>
      <c r="B72" t="s">
        <v>1200</v>
      </c>
      <c r="C72" t="s">
        <v>572</v>
      </c>
      <c r="D72" s="6">
        <v>46108</v>
      </c>
      <c r="E72">
        <v>2698</v>
      </c>
      <c r="F72" t="s">
        <v>1317</v>
      </c>
      <c r="G72" t="s">
        <v>1320</v>
      </c>
      <c r="H72" t="s">
        <v>1409</v>
      </c>
      <c r="I72" s="6">
        <v>46097</v>
      </c>
      <c r="J72" t="s">
        <v>1185</v>
      </c>
      <c r="K72" s="6">
        <v>46103</v>
      </c>
      <c r="L72" t="s">
        <v>1203</v>
      </c>
      <c r="M72" s="6">
        <v>46087</v>
      </c>
      <c r="N72" t="s">
        <v>64</v>
      </c>
      <c r="O72" t="s">
        <v>47</v>
      </c>
      <c r="P72" t="s">
        <v>128</v>
      </c>
      <c r="Q72">
        <v>2398</v>
      </c>
      <c r="R72" t="s">
        <v>17</v>
      </c>
      <c r="S72" t="s">
        <v>781</v>
      </c>
      <c r="T72" t="s">
        <v>782</v>
      </c>
      <c r="U72">
        <v>2398</v>
      </c>
      <c r="V72" t="str">
        <f>IF(rec_Refunds[[#This Row],[Return_Status]]="","FAIL","PASS")</f>
        <v>PASS</v>
      </c>
      <c r="W72" t="str">
        <f>IF(rec_Refunds[[#This Row],[Return_Status]]="","N/A",IF(rec_Refunds[[#This Row],[Return_Status]]="Received","PASS","FAIL"))</f>
        <v>PASS</v>
      </c>
      <c r="X72" t="str">
        <f>IF(rec_Refunds[[#This Row],[Payment_Status]]="Success","PASS","FAIL")</f>
        <v>PASS</v>
      </c>
      <c r="Y72" t="str">
        <f>IF(rec_Refunds[[#This Row],[R3_Payment_Success]]="FAIL","N/A",IF(rec_Refunds[[#This Row],[Refund_Amount]]&gt;rec_Refunds[[#This Row],[Amount_Paid]],"FAIL","PASS"))</f>
        <v>FAIL</v>
      </c>
      <c r="Z72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72" t="str">
        <f>IF(rec_Refunds[[#This Row],[Return_Request_Date]]="","N/A",IF(rec_Refunds[[#This Row],[Return_Request_Date]]-rec_Refunds[[#This Row],[Order_Date]]&gt;30,"FAIL","PASS"))</f>
        <v>PASS</v>
      </c>
      <c r="AB72" t="str">
        <f>IF(rec_Refunds[[#This Row],[Return_Request_Date]]="","N/A",IF(rec_Refunds[[#This Row],[Return_Request_Date]]&lt;rec_Refunds[[#This Row],[Order_Date]],"CHECK","OK"))</f>
        <v>OK</v>
      </c>
      <c r="AC72">
        <f>COUNTIF(rec_Refunds[[#This Row],[R1_Has_Return]:[R6_Within_Window]],"FAIL")</f>
        <v>1</v>
      </c>
      <c r="AD72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R4 Refund exceeds payment</v>
      </c>
      <c r="AE72">
        <f>IF(rec_Refunds[[#This Row],[Exception_Type]]="None",0,IF(LEFT(rec_Refunds[[#This Row],[Exception_Type]],2)="R4",rec_Refunds[[#This Row],[Refund_Amount]]-rec_Refunds[[#This Row],[Amount_Paid]],rec_Refunds[[#This Row],[Refund_Amount]]))</f>
        <v>300</v>
      </c>
      <c r="AF72">
        <f>IF(rec_Refunds[[#This Row],[Exception_Type]]="None",0,1)</f>
        <v>1</v>
      </c>
      <c r="AG72" t="str">
        <f>TEXT(rec_Refunds[[#This Row],[Refund_Date]],"yyyy-mm")</f>
        <v>2026-03</v>
      </c>
    </row>
    <row r="73" spans="1:33">
      <c r="A73" t="s">
        <v>1337</v>
      </c>
      <c r="B73" t="s">
        <v>1218</v>
      </c>
      <c r="C73" t="s">
        <v>664</v>
      </c>
      <c r="D73" s="6">
        <v>46065</v>
      </c>
      <c r="E73">
        <v>499</v>
      </c>
      <c r="F73" t="s">
        <v>1314</v>
      </c>
      <c r="G73" t="s">
        <v>1318</v>
      </c>
      <c r="H73" t="s">
        <v>1409</v>
      </c>
      <c r="I73" s="6">
        <v>46051</v>
      </c>
      <c r="J73" t="s">
        <v>1185</v>
      </c>
      <c r="K73" s="6">
        <v>46060</v>
      </c>
      <c r="L73" t="s">
        <v>1419</v>
      </c>
      <c r="M73" s="6">
        <v>46044</v>
      </c>
      <c r="N73" t="s">
        <v>14</v>
      </c>
      <c r="O73" t="s">
        <v>47</v>
      </c>
      <c r="P73" t="s">
        <v>48</v>
      </c>
      <c r="Q73">
        <v>499</v>
      </c>
      <c r="R73" t="s">
        <v>17</v>
      </c>
      <c r="S73" t="s">
        <v>786</v>
      </c>
      <c r="T73" t="s">
        <v>782</v>
      </c>
      <c r="U73">
        <v>499</v>
      </c>
      <c r="V73" t="str">
        <f>IF(rec_Refunds[[#This Row],[Return_Status]]="","FAIL","PASS")</f>
        <v>PASS</v>
      </c>
      <c r="W73" t="str">
        <f>IF(rec_Refunds[[#This Row],[Return_Status]]="","N/A",IF(rec_Refunds[[#This Row],[Return_Status]]="Received","PASS","FAIL"))</f>
        <v>PASS</v>
      </c>
      <c r="X73" t="str">
        <f>IF(rec_Refunds[[#This Row],[Payment_Status]]="Success","PASS","FAIL")</f>
        <v>PASS</v>
      </c>
      <c r="Y73" t="str">
        <f>IF(rec_Refunds[[#This Row],[R3_Payment_Success]]="FAIL","N/A",IF(rec_Refunds[[#This Row],[Refund_Amount]]&gt;rec_Refunds[[#This Row],[Amount_Paid]],"FAIL","PASS"))</f>
        <v>PASS</v>
      </c>
      <c r="Z73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73" t="str">
        <f>IF(rec_Refunds[[#This Row],[Return_Request_Date]]="","N/A",IF(rec_Refunds[[#This Row],[Return_Request_Date]]-rec_Refunds[[#This Row],[Order_Date]]&gt;30,"FAIL","PASS"))</f>
        <v>PASS</v>
      </c>
      <c r="AB73" t="str">
        <f>IF(rec_Refunds[[#This Row],[Return_Request_Date]]="","N/A",IF(rec_Refunds[[#This Row],[Return_Request_Date]]&lt;rec_Refunds[[#This Row],[Order_Date]],"CHECK","OK"))</f>
        <v>OK</v>
      </c>
      <c r="AC73">
        <f>COUNTIF(rec_Refunds[[#This Row],[R1_Has_Return]:[R6_Within_Window]],"FAIL")</f>
        <v>0</v>
      </c>
      <c r="AD73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73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73">
        <f>IF(rec_Refunds[[#This Row],[Exception_Type]]="None",0,1)</f>
        <v>0</v>
      </c>
      <c r="AG73" t="str">
        <f>TEXT(rec_Refunds[[#This Row],[Refund_Date]],"yyyy-mm")</f>
        <v>2026-02</v>
      </c>
    </row>
    <row r="74" spans="1:33">
      <c r="A74" t="s">
        <v>1334</v>
      </c>
      <c r="B74" t="s">
        <v>1215</v>
      </c>
      <c r="C74" t="s">
        <v>410</v>
      </c>
      <c r="D74" s="6">
        <v>46088</v>
      </c>
      <c r="E74">
        <v>2199</v>
      </c>
      <c r="F74" t="s">
        <v>1314</v>
      </c>
      <c r="G74" t="s">
        <v>1323</v>
      </c>
      <c r="H74" t="s">
        <v>1409</v>
      </c>
      <c r="I74" s="6">
        <v>46082</v>
      </c>
      <c r="J74" t="s">
        <v>1185</v>
      </c>
      <c r="K74" s="6">
        <v>46086</v>
      </c>
      <c r="L74" t="s">
        <v>1423</v>
      </c>
      <c r="M74" s="6">
        <v>46079</v>
      </c>
      <c r="N74" t="s">
        <v>21</v>
      </c>
      <c r="O74" t="s">
        <v>25</v>
      </c>
      <c r="P74" t="s">
        <v>69</v>
      </c>
      <c r="Q74">
        <v>2199</v>
      </c>
      <c r="R74" t="s">
        <v>17</v>
      </c>
      <c r="S74" t="s">
        <v>788</v>
      </c>
      <c r="T74" t="s">
        <v>782</v>
      </c>
      <c r="U74">
        <v>2199</v>
      </c>
      <c r="V74" t="str">
        <f>IF(rec_Refunds[[#This Row],[Return_Status]]="","FAIL","PASS")</f>
        <v>PASS</v>
      </c>
      <c r="W74" t="str">
        <f>IF(rec_Refunds[[#This Row],[Return_Status]]="","N/A",IF(rec_Refunds[[#This Row],[Return_Status]]="Received","PASS","FAIL"))</f>
        <v>PASS</v>
      </c>
      <c r="X74" t="str">
        <f>IF(rec_Refunds[[#This Row],[Payment_Status]]="Success","PASS","FAIL")</f>
        <v>PASS</v>
      </c>
      <c r="Y74" t="str">
        <f>IF(rec_Refunds[[#This Row],[R3_Payment_Success]]="FAIL","N/A",IF(rec_Refunds[[#This Row],[Refund_Amount]]&gt;rec_Refunds[[#This Row],[Amount_Paid]],"FAIL","PASS"))</f>
        <v>PASS</v>
      </c>
      <c r="Z74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74" t="str">
        <f>IF(rec_Refunds[[#This Row],[Return_Request_Date]]="","N/A",IF(rec_Refunds[[#This Row],[Return_Request_Date]]-rec_Refunds[[#This Row],[Order_Date]]&gt;30,"FAIL","PASS"))</f>
        <v>PASS</v>
      </c>
      <c r="AB74" t="str">
        <f>IF(rec_Refunds[[#This Row],[Return_Request_Date]]="","N/A",IF(rec_Refunds[[#This Row],[Return_Request_Date]]&lt;rec_Refunds[[#This Row],[Order_Date]],"CHECK","OK"))</f>
        <v>OK</v>
      </c>
      <c r="AC74">
        <f>COUNTIF(rec_Refunds[[#This Row],[R1_Has_Return]:[R6_Within_Window]],"FAIL")</f>
        <v>0</v>
      </c>
      <c r="AD74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74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74">
        <f>IF(rec_Refunds[[#This Row],[Exception_Type]]="None",0,1)</f>
        <v>0</v>
      </c>
      <c r="AG74" t="str">
        <f>TEXT(rec_Refunds[[#This Row],[Refund_Date]],"yyyy-mm")</f>
        <v>2026-03</v>
      </c>
    </row>
    <row r="75" spans="1:33">
      <c r="A75" t="s">
        <v>1331</v>
      </c>
      <c r="B75" t="s">
        <v>1210</v>
      </c>
      <c r="C75" t="s">
        <v>407</v>
      </c>
      <c r="D75" s="6">
        <v>46145</v>
      </c>
      <c r="E75">
        <v>499</v>
      </c>
      <c r="F75" t="s">
        <v>1314</v>
      </c>
      <c r="G75" t="s">
        <v>1312</v>
      </c>
      <c r="H75" t="s">
        <v>1409</v>
      </c>
      <c r="I75" s="6">
        <v>46133</v>
      </c>
      <c r="J75" t="s">
        <v>1185</v>
      </c>
      <c r="K75" s="6">
        <v>46141</v>
      </c>
      <c r="L75" t="s">
        <v>1421</v>
      </c>
      <c r="M75" s="6">
        <v>46111</v>
      </c>
      <c r="N75" t="s">
        <v>104</v>
      </c>
      <c r="O75" t="s">
        <v>47</v>
      </c>
      <c r="P75" t="s">
        <v>48</v>
      </c>
      <c r="Q75">
        <v>499</v>
      </c>
      <c r="R75" t="s">
        <v>17</v>
      </c>
      <c r="S75" t="s">
        <v>790</v>
      </c>
      <c r="T75" t="s">
        <v>782</v>
      </c>
      <c r="U75">
        <v>499</v>
      </c>
      <c r="V75" t="str">
        <f>IF(rec_Refunds[[#This Row],[Return_Status]]="","FAIL","PASS")</f>
        <v>PASS</v>
      </c>
      <c r="W75" t="str">
        <f>IF(rec_Refunds[[#This Row],[Return_Status]]="","N/A",IF(rec_Refunds[[#This Row],[Return_Status]]="Received","PASS","FAIL"))</f>
        <v>PASS</v>
      </c>
      <c r="X75" t="str">
        <f>IF(rec_Refunds[[#This Row],[Payment_Status]]="Success","PASS","FAIL")</f>
        <v>PASS</v>
      </c>
      <c r="Y75" t="str">
        <f>IF(rec_Refunds[[#This Row],[R3_Payment_Success]]="FAIL","N/A",IF(rec_Refunds[[#This Row],[Refund_Amount]]&gt;rec_Refunds[[#This Row],[Amount_Paid]],"FAIL","PASS"))</f>
        <v>PASS</v>
      </c>
      <c r="Z75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75" t="str">
        <f>IF(rec_Refunds[[#This Row],[Return_Request_Date]]="","N/A",IF(rec_Refunds[[#This Row],[Return_Request_Date]]-rec_Refunds[[#This Row],[Order_Date]]&gt;30,"FAIL","PASS"))</f>
        <v>PASS</v>
      </c>
      <c r="AB75" t="str">
        <f>IF(rec_Refunds[[#This Row],[Return_Request_Date]]="","N/A",IF(rec_Refunds[[#This Row],[Return_Request_Date]]&lt;rec_Refunds[[#This Row],[Order_Date]],"CHECK","OK"))</f>
        <v>OK</v>
      </c>
      <c r="AC75">
        <f>COUNTIF(rec_Refunds[[#This Row],[R1_Has_Return]:[R6_Within_Window]],"FAIL")</f>
        <v>0</v>
      </c>
      <c r="AD75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75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75">
        <f>IF(rec_Refunds[[#This Row],[Exception_Type]]="None",0,1)</f>
        <v>0</v>
      </c>
      <c r="AG75" t="str">
        <f>TEXT(rec_Refunds[[#This Row],[Refund_Date]],"yyyy-mm")</f>
        <v>2026-05</v>
      </c>
    </row>
    <row r="76" spans="1:33">
      <c r="A76" t="s">
        <v>1372</v>
      </c>
      <c r="B76" t="s">
        <v>1268</v>
      </c>
      <c r="C76" t="s">
        <v>630</v>
      </c>
      <c r="D76" s="6">
        <v>46197</v>
      </c>
      <c r="E76">
        <v>1598</v>
      </c>
      <c r="F76" t="s">
        <v>1317</v>
      </c>
      <c r="G76" t="s">
        <v>1323</v>
      </c>
      <c r="H76" t="s">
        <v>1409</v>
      </c>
      <c r="I76" s="6">
        <v>46191</v>
      </c>
      <c r="J76" t="s">
        <v>1185</v>
      </c>
      <c r="K76" s="6">
        <v>46195</v>
      </c>
      <c r="L76" t="s">
        <v>1421</v>
      </c>
      <c r="M76" s="6">
        <v>46181</v>
      </c>
      <c r="N76" t="s">
        <v>73</v>
      </c>
      <c r="O76" t="s">
        <v>36</v>
      </c>
      <c r="P76" t="s">
        <v>151</v>
      </c>
      <c r="Q76">
        <v>799</v>
      </c>
      <c r="R76" t="s">
        <v>17</v>
      </c>
      <c r="S76" t="s">
        <v>784</v>
      </c>
      <c r="T76" t="s">
        <v>782</v>
      </c>
      <c r="U76">
        <v>799</v>
      </c>
      <c r="V76" t="str">
        <f>IF(rec_Refunds[[#This Row],[Return_Status]]="","FAIL","PASS")</f>
        <v>PASS</v>
      </c>
      <c r="W76" t="str">
        <f>IF(rec_Refunds[[#This Row],[Return_Status]]="","N/A",IF(rec_Refunds[[#This Row],[Return_Status]]="Received","PASS","FAIL"))</f>
        <v>PASS</v>
      </c>
      <c r="X76" t="str">
        <f>IF(rec_Refunds[[#This Row],[Payment_Status]]="Success","PASS","FAIL")</f>
        <v>PASS</v>
      </c>
      <c r="Y76" t="str">
        <f>IF(rec_Refunds[[#This Row],[R3_Payment_Success]]="FAIL","N/A",IF(rec_Refunds[[#This Row],[Refund_Amount]]&gt;rec_Refunds[[#This Row],[Amount_Paid]],"FAIL","PASS"))</f>
        <v>FAIL</v>
      </c>
      <c r="Z76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76" t="str">
        <f>IF(rec_Refunds[[#This Row],[Return_Request_Date]]="","N/A",IF(rec_Refunds[[#This Row],[Return_Request_Date]]-rec_Refunds[[#This Row],[Order_Date]]&gt;30,"FAIL","PASS"))</f>
        <v>PASS</v>
      </c>
      <c r="AB76" t="str">
        <f>IF(rec_Refunds[[#This Row],[Return_Request_Date]]="","N/A",IF(rec_Refunds[[#This Row],[Return_Request_Date]]&lt;rec_Refunds[[#This Row],[Order_Date]],"CHECK","OK"))</f>
        <v>OK</v>
      </c>
      <c r="AC76">
        <f>COUNTIF(rec_Refunds[[#This Row],[R1_Has_Return]:[R6_Within_Window]],"FAIL")</f>
        <v>1</v>
      </c>
      <c r="AD76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R4 Refund exceeds payment</v>
      </c>
      <c r="AE76">
        <f>IF(rec_Refunds[[#This Row],[Exception_Type]]="None",0,IF(LEFT(rec_Refunds[[#This Row],[Exception_Type]],2)="R4",rec_Refunds[[#This Row],[Refund_Amount]]-rec_Refunds[[#This Row],[Amount_Paid]],rec_Refunds[[#This Row],[Refund_Amount]]))</f>
        <v>799</v>
      </c>
      <c r="AF76">
        <f>IF(rec_Refunds[[#This Row],[Exception_Type]]="None",0,1)</f>
        <v>1</v>
      </c>
      <c r="AG76" t="str">
        <f>TEXT(rec_Refunds[[#This Row],[Refund_Date]],"yyyy-mm")</f>
        <v>2026-06</v>
      </c>
    </row>
    <row r="77" spans="1:33">
      <c r="A77" t="s">
        <v>1339</v>
      </c>
      <c r="B77" t="s">
        <v>1220</v>
      </c>
      <c r="C77" t="s">
        <v>384</v>
      </c>
      <c r="D77" s="6">
        <v>46197</v>
      </c>
      <c r="E77">
        <v>4497</v>
      </c>
      <c r="F77" t="s">
        <v>1311</v>
      </c>
      <c r="G77" t="s">
        <v>1323</v>
      </c>
      <c r="H77" t="s">
        <v>1409</v>
      </c>
      <c r="I77" s="6">
        <v>46186</v>
      </c>
      <c r="J77" t="s">
        <v>1185</v>
      </c>
      <c r="K77" s="6">
        <v>46195</v>
      </c>
      <c r="L77" t="s">
        <v>1203</v>
      </c>
      <c r="M77" s="6">
        <v>46183</v>
      </c>
      <c r="N77" t="s">
        <v>30</v>
      </c>
      <c r="O77" t="s">
        <v>22</v>
      </c>
      <c r="P77" t="s">
        <v>43</v>
      </c>
      <c r="Q77">
        <v>4497</v>
      </c>
      <c r="R77" t="s">
        <v>17</v>
      </c>
      <c r="S77" t="s">
        <v>784</v>
      </c>
      <c r="T77" t="s">
        <v>782</v>
      </c>
      <c r="U77">
        <v>4497</v>
      </c>
      <c r="V77" t="str">
        <f>IF(rec_Refunds[[#This Row],[Return_Status]]="","FAIL","PASS")</f>
        <v>PASS</v>
      </c>
      <c r="W77" t="str">
        <f>IF(rec_Refunds[[#This Row],[Return_Status]]="","N/A",IF(rec_Refunds[[#This Row],[Return_Status]]="Received","PASS","FAIL"))</f>
        <v>PASS</v>
      </c>
      <c r="X77" t="str">
        <f>IF(rec_Refunds[[#This Row],[Payment_Status]]="Success","PASS","FAIL")</f>
        <v>PASS</v>
      </c>
      <c r="Y77" t="str">
        <f>IF(rec_Refunds[[#This Row],[R3_Payment_Success]]="FAIL","N/A",IF(rec_Refunds[[#This Row],[Refund_Amount]]&gt;rec_Refunds[[#This Row],[Amount_Paid]],"FAIL","PASS"))</f>
        <v>PASS</v>
      </c>
      <c r="Z77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77" t="str">
        <f>IF(rec_Refunds[[#This Row],[Return_Request_Date]]="","N/A",IF(rec_Refunds[[#This Row],[Return_Request_Date]]-rec_Refunds[[#This Row],[Order_Date]]&gt;30,"FAIL","PASS"))</f>
        <v>PASS</v>
      </c>
      <c r="AB77" t="str">
        <f>IF(rec_Refunds[[#This Row],[Return_Request_Date]]="","N/A",IF(rec_Refunds[[#This Row],[Return_Request_Date]]&lt;rec_Refunds[[#This Row],[Order_Date]],"CHECK","OK"))</f>
        <v>OK</v>
      </c>
      <c r="AC77">
        <f>COUNTIF(rec_Refunds[[#This Row],[R1_Has_Return]:[R6_Within_Window]],"FAIL")</f>
        <v>0</v>
      </c>
      <c r="AD77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77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77">
        <f>IF(rec_Refunds[[#This Row],[Exception_Type]]="None",0,1)</f>
        <v>0</v>
      </c>
      <c r="AG77" t="str">
        <f>TEXT(rec_Refunds[[#This Row],[Refund_Date]],"yyyy-mm")</f>
        <v>2026-06</v>
      </c>
    </row>
    <row r="78" spans="1:33">
      <c r="A78" t="s">
        <v>1385</v>
      </c>
      <c r="B78" t="s">
        <v>1293</v>
      </c>
      <c r="C78" t="s">
        <v>416</v>
      </c>
      <c r="D78" s="6">
        <v>46221</v>
      </c>
      <c r="E78">
        <v>2299</v>
      </c>
      <c r="F78" t="s">
        <v>1314</v>
      </c>
      <c r="G78" t="s">
        <v>1320</v>
      </c>
      <c r="H78" t="s">
        <v>1409</v>
      </c>
      <c r="I78" s="6">
        <v>46209</v>
      </c>
      <c r="J78" t="s">
        <v>1185</v>
      </c>
      <c r="K78" s="6">
        <v>46218</v>
      </c>
      <c r="L78" t="s">
        <v>1421</v>
      </c>
      <c r="M78" s="6">
        <v>46197</v>
      </c>
      <c r="N78" t="s">
        <v>104</v>
      </c>
      <c r="O78" t="s">
        <v>36</v>
      </c>
      <c r="P78" t="s">
        <v>37</v>
      </c>
      <c r="Q78">
        <v>2299</v>
      </c>
      <c r="R78" t="s">
        <v>17</v>
      </c>
      <c r="S78" t="s">
        <v>788</v>
      </c>
      <c r="T78" t="s">
        <v>782</v>
      </c>
      <c r="U78">
        <v>2299</v>
      </c>
      <c r="V78" t="str">
        <f>IF(rec_Refunds[[#This Row],[Return_Status]]="","FAIL","PASS")</f>
        <v>PASS</v>
      </c>
      <c r="W78" t="str">
        <f>IF(rec_Refunds[[#This Row],[Return_Status]]="","N/A",IF(rec_Refunds[[#This Row],[Return_Status]]="Received","PASS","FAIL"))</f>
        <v>PASS</v>
      </c>
      <c r="X78" t="str">
        <f>IF(rec_Refunds[[#This Row],[Payment_Status]]="Success","PASS","FAIL")</f>
        <v>PASS</v>
      </c>
      <c r="Y78" t="str">
        <f>IF(rec_Refunds[[#This Row],[R3_Payment_Success]]="FAIL","N/A",IF(rec_Refunds[[#This Row],[Refund_Amount]]&gt;rec_Refunds[[#This Row],[Amount_Paid]],"FAIL","PASS"))</f>
        <v>PASS</v>
      </c>
      <c r="Z78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78" t="str">
        <f>IF(rec_Refunds[[#This Row],[Return_Request_Date]]="","N/A",IF(rec_Refunds[[#This Row],[Return_Request_Date]]-rec_Refunds[[#This Row],[Order_Date]]&gt;30,"FAIL","PASS"))</f>
        <v>PASS</v>
      </c>
      <c r="AB78" t="str">
        <f>IF(rec_Refunds[[#This Row],[Return_Request_Date]]="","N/A",IF(rec_Refunds[[#This Row],[Return_Request_Date]]&lt;rec_Refunds[[#This Row],[Order_Date]],"CHECK","OK"))</f>
        <v>OK</v>
      </c>
      <c r="AC78">
        <f>COUNTIF(rec_Refunds[[#This Row],[R1_Has_Return]:[R6_Within_Window]],"FAIL")</f>
        <v>0</v>
      </c>
      <c r="AD78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78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78">
        <f>IF(rec_Refunds[[#This Row],[Exception_Type]]="None",0,1)</f>
        <v>0</v>
      </c>
      <c r="AG78" t="str">
        <f>TEXT(rec_Refunds[[#This Row],[Refund_Date]],"yyyy-mm")</f>
        <v>2026-07</v>
      </c>
    </row>
    <row r="79" spans="1:33">
      <c r="A79" t="s">
        <v>1375</v>
      </c>
      <c r="B79" t="s">
        <v>1275</v>
      </c>
      <c r="C79" t="s">
        <v>79</v>
      </c>
      <c r="D79" s="6">
        <v>46214</v>
      </c>
      <c r="E79">
        <v>1499</v>
      </c>
      <c r="F79" t="s">
        <v>1311</v>
      </c>
      <c r="G79" t="s">
        <v>1318</v>
      </c>
      <c r="H79" t="s">
        <v>1409</v>
      </c>
      <c r="I79" s="6">
        <v>46201</v>
      </c>
      <c r="J79" t="s">
        <v>1185</v>
      </c>
      <c r="K79" s="6">
        <v>46208</v>
      </c>
      <c r="L79" t="s">
        <v>1421</v>
      </c>
      <c r="M79" s="6">
        <v>46188</v>
      </c>
      <c r="N79" t="s">
        <v>30</v>
      </c>
      <c r="O79" t="s">
        <v>22</v>
      </c>
      <c r="P79" t="s">
        <v>43</v>
      </c>
      <c r="Q79">
        <v>1499</v>
      </c>
      <c r="R79" t="s">
        <v>17</v>
      </c>
      <c r="S79" t="s">
        <v>788</v>
      </c>
      <c r="T79" t="s">
        <v>782</v>
      </c>
      <c r="U79">
        <v>1499</v>
      </c>
      <c r="V79" t="str">
        <f>IF(rec_Refunds[[#This Row],[Return_Status]]="","FAIL","PASS")</f>
        <v>PASS</v>
      </c>
      <c r="W79" t="str">
        <f>IF(rec_Refunds[[#This Row],[Return_Status]]="","N/A",IF(rec_Refunds[[#This Row],[Return_Status]]="Received","PASS","FAIL"))</f>
        <v>PASS</v>
      </c>
      <c r="X79" t="str">
        <f>IF(rec_Refunds[[#This Row],[Payment_Status]]="Success","PASS","FAIL")</f>
        <v>PASS</v>
      </c>
      <c r="Y79" t="str">
        <f>IF(rec_Refunds[[#This Row],[R3_Payment_Success]]="FAIL","N/A",IF(rec_Refunds[[#This Row],[Refund_Amount]]&gt;rec_Refunds[[#This Row],[Amount_Paid]],"FAIL","PASS"))</f>
        <v>PASS</v>
      </c>
      <c r="Z79" t="str">
        <f>IF(rec_Refunds[[#This Row],[Return_ID]]="","N/A",IF(COUNTIFS(rec_Refunds[Return_ID],rec_Refunds[[#This Row],[Return_ID]],rec_Refunds[Refund_Date],"&lt;"&amp;rec_Refunds[[#This Row],[Refund_Date]])&gt;0,"FAIL","PASS"))</f>
        <v>PASS</v>
      </c>
      <c r="AA79" t="str">
        <f>IF(rec_Refunds[[#This Row],[Return_Request_Date]]="","N/A",IF(rec_Refunds[[#This Row],[Return_Request_Date]]-rec_Refunds[[#This Row],[Order_Date]]&gt;30,"FAIL","PASS"))</f>
        <v>PASS</v>
      </c>
      <c r="AB79" t="str">
        <f>IF(rec_Refunds[[#This Row],[Return_Request_Date]]="","N/A",IF(rec_Refunds[[#This Row],[Return_Request_Date]]&lt;rec_Refunds[[#This Row],[Order_Date]],"CHECK","OK"))</f>
        <v>OK</v>
      </c>
      <c r="AC79">
        <f>COUNTIF(rec_Refunds[[#This Row],[R1_Has_Return]:[R6_Within_Window]],"FAIL")</f>
        <v>0</v>
      </c>
      <c r="AD79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None</v>
      </c>
      <c r="AE79">
        <f>IF(rec_Refunds[[#This Row],[Exception_Type]]="None",0,IF(LEFT(rec_Refunds[[#This Row],[Exception_Type]],2)="R4",rec_Refunds[[#This Row],[Refund_Amount]]-rec_Refunds[[#This Row],[Amount_Paid]],rec_Refunds[[#This Row],[Refund_Amount]]))</f>
        <v>0</v>
      </c>
      <c r="AF79">
        <f>IF(rec_Refunds[[#This Row],[Exception_Type]]="None",0,1)</f>
        <v>0</v>
      </c>
      <c r="AG79" t="str">
        <f>TEXT(rec_Refunds[[#This Row],[Refund_Date]],"yyyy-mm")</f>
        <v>2026-07</v>
      </c>
    </row>
    <row r="80" spans="1:33">
      <c r="A80" t="s">
        <v>1396</v>
      </c>
      <c r="B80" t="s">
        <v>1275</v>
      </c>
      <c r="C80" t="s">
        <v>79</v>
      </c>
      <c r="D80" s="6">
        <v>46216</v>
      </c>
      <c r="E80">
        <v>1499</v>
      </c>
      <c r="F80" t="s">
        <v>1311</v>
      </c>
      <c r="G80" t="s">
        <v>1318</v>
      </c>
      <c r="H80" t="s">
        <v>1409</v>
      </c>
      <c r="I80" s="6">
        <v>46201</v>
      </c>
      <c r="J80" t="s">
        <v>1185</v>
      </c>
      <c r="K80" s="6">
        <v>46208</v>
      </c>
      <c r="L80" t="s">
        <v>1421</v>
      </c>
      <c r="M80" s="6">
        <v>46188</v>
      </c>
      <c r="N80" t="s">
        <v>30</v>
      </c>
      <c r="O80" t="s">
        <v>22</v>
      </c>
      <c r="P80" t="s">
        <v>43</v>
      </c>
      <c r="Q80">
        <v>1499</v>
      </c>
      <c r="R80" t="s">
        <v>17</v>
      </c>
      <c r="S80" t="s">
        <v>788</v>
      </c>
      <c r="T80" t="s">
        <v>782</v>
      </c>
      <c r="U80">
        <v>1499</v>
      </c>
      <c r="V80" t="str">
        <f>IF(rec_Refunds[[#This Row],[Return_Status]]="","FAIL","PASS")</f>
        <v>PASS</v>
      </c>
      <c r="W80" t="str">
        <f>IF(rec_Refunds[[#This Row],[Return_Status]]="","N/A",IF(rec_Refunds[[#This Row],[Return_Status]]="Received","PASS","FAIL"))</f>
        <v>PASS</v>
      </c>
      <c r="X80" t="str">
        <f>IF(rec_Refunds[[#This Row],[Payment_Status]]="Success","PASS","FAIL")</f>
        <v>PASS</v>
      </c>
      <c r="Y80" t="str">
        <f>IF(rec_Refunds[[#This Row],[R3_Payment_Success]]="FAIL","N/A",IF(rec_Refunds[[#This Row],[Refund_Amount]]&gt;rec_Refunds[[#This Row],[Amount_Paid]],"FAIL","PASS"))</f>
        <v>PASS</v>
      </c>
      <c r="Z80" t="str">
        <f>IF(rec_Refunds[[#This Row],[Return_ID]]="","N/A",IF(COUNTIFS(rec_Refunds[Return_ID],rec_Refunds[[#This Row],[Return_ID]],rec_Refunds[Refund_Date],"&lt;"&amp;rec_Refunds[[#This Row],[Refund_Date]])&gt;0,"FAIL","PASS"))</f>
        <v>FAIL</v>
      </c>
      <c r="AA80" t="str">
        <f>IF(rec_Refunds[[#This Row],[Return_Request_Date]]="","N/A",IF(rec_Refunds[[#This Row],[Return_Request_Date]]-rec_Refunds[[#This Row],[Order_Date]]&gt;30,"FAIL","PASS"))</f>
        <v>PASS</v>
      </c>
      <c r="AB80" t="str">
        <f>IF(rec_Refunds[[#This Row],[Return_Request_Date]]="","N/A",IF(rec_Refunds[[#This Row],[Return_Request_Date]]&lt;rec_Refunds[[#This Row],[Order_Date]],"CHECK","OK"))</f>
        <v>OK</v>
      </c>
      <c r="AC80">
        <f>COUNTIF(rec_Refunds[[#This Row],[R1_Has_Return]:[R6_Within_Window]],"FAIL")</f>
        <v>1</v>
      </c>
      <c r="AD80" t="str">
        <f>IF(rec_Refunds[[#This Row],[R1_Has_Return]]="FAIL","R1 No return record",IF(rec_Refunds[[#This Row],[R3_Payment_Success]]="FAIL","R3 Order not paid",IF(rec_Refunds[[#This Row],[R2_Return_Received]]="FAIL","R2 Return not received",IF(rec_Refunds[[#This Row],[R5_Single_Refund]]="FAIL","R5 Duplicate refund",IF(rec_Refunds[[#This Row],[R4_Within_Paid]]="FAIL","R4 Refund exceeds payment",IF(rec_Refunds[[#This Row],[R6_Within_Window]]="FAIL","R6 Late return window","None"))))))</f>
        <v>R5 Duplicate refund</v>
      </c>
      <c r="AE80">
        <f>IF(rec_Refunds[[#This Row],[Exception_Type]]="None",0,IF(LEFT(rec_Refunds[[#This Row],[Exception_Type]],2)="R4",rec_Refunds[[#This Row],[Refund_Amount]]-rec_Refunds[[#This Row],[Amount_Paid]],rec_Refunds[[#This Row],[Refund_Amount]]))</f>
        <v>1499</v>
      </c>
      <c r="AF80">
        <f>IF(rec_Refunds[[#This Row],[Exception_Type]]="None",0,1)</f>
        <v>1</v>
      </c>
      <c r="AG80" t="str">
        <f>TEXT(rec_Refunds[[#This Row],[Refund_Date]],"yyyy-mm")</f>
        <v>2026-07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C79C-4B39-4FA8-B599-ECB4B284ACA7}">
  <dimension ref="A1:M401"/>
  <sheetViews>
    <sheetView workbookViewId="0">
      <selection activeCell="P5" sqref="P5"/>
    </sheetView>
  </sheetViews>
  <sheetFormatPr defaultRowHeight="15"/>
  <cols>
    <col min="1" max="1" width="11.28515625" bestFit="1" customWidth="1"/>
    <col min="2" max="2" width="13.5703125" bestFit="1" customWidth="1"/>
    <col min="3" max="3" width="14.7109375" bestFit="1" customWidth="1"/>
    <col min="4" max="4" width="18.28515625" bestFit="1" customWidth="1"/>
    <col min="5" max="5" width="10.5703125" bestFit="1" customWidth="1"/>
    <col min="6" max="6" width="15.42578125" bestFit="1" customWidth="1"/>
    <col min="7" max="7" width="17.7109375" bestFit="1" customWidth="1"/>
    <col min="8" max="8" width="11" bestFit="1" customWidth="1"/>
    <col min="9" max="9" width="12.5703125" bestFit="1" customWidth="1"/>
    <col min="10" max="10" width="16.7109375" bestFit="1" customWidth="1"/>
    <col min="11" max="11" width="14.85546875" bestFit="1" customWidth="1"/>
    <col min="12" max="12" width="29.42578125" bestFit="1" customWidth="1"/>
    <col min="13" max="13" width="15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1407</v>
      </c>
      <c r="M1" t="s">
        <v>1408</v>
      </c>
    </row>
    <row r="2" spans="1:13">
      <c r="A2" t="s">
        <v>11</v>
      </c>
      <c r="B2" s="6">
        <v>46078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</v>
      </c>
      <c r="I2">
        <v>1999</v>
      </c>
      <c r="J2">
        <v>1999</v>
      </c>
      <c r="K2" t="s">
        <v>17</v>
      </c>
      <c r="L2" t="s">
        <v>1409</v>
      </c>
      <c r="M2" t="s">
        <v>1410</v>
      </c>
    </row>
    <row r="3" spans="1:13">
      <c r="A3" t="s">
        <v>18</v>
      </c>
      <c r="B3" s="6">
        <v>46121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1</v>
      </c>
      <c r="I3">
        <v>3299</v>
      </c>
      <c r="J3">
        <v>3299</v>
      </c>
      <c r="K3" t="s">
        <v>17</v>
      </c>
      <c r="L3" t="s">
        <v>1409</v>
      </c>
      <c r="M3" t="s">
        <v>1411</v>
      </c>
    </row>
    <row r="4" spans="1:13">
      <c r="A4" t="s">
        <v>24</v>
      </c>
      <c r="B4" s="6">
        <v>46090</v>
      </c>
      <c r="C4" t="s">
        <v>19</v>
      </c>
      <c r="D4" t="s">
        <v>20</v>
      </c>
      <c r="E4" t="s">
        <v>21</v>
      </c>
      <c r="F4" t="s">
        <v>25</v>
      </c>
      <c r="G4" t="s">
        <v>26</v>
      </c>
      <c r="H4">
        <v>1</v>
      </c>
      <c r="I4">
        <v>1299</v>
      </c>
      <c r="J4">
        <v>1299</v>
      </c>
      <c r="K4" t="s">
        <v>17</v>
      </c>
      <c r="L4" t="s">
        <v>1409</v>
      </c>
      <c r="M4" t="s">
        <v>1412</v>
      </c>
    </row>
    <row r="5" spans="1:13">
      <c r="A5" t="s">
        <v>27</v>
      </c>
      <c r="B5" s="6">
        <v>46053</v>
      </c>
      <c r="C5" t="s">
        <v>28</v>
      </c>
      <c r="D5" t="s">
        <v>29</v>
      </c>
      <c r="E5" t="s">
        <v>30</v>
      </c>
      <c r="F5" t="s">
        <v>25</v>
      </c>
      <c r="G5" t="s">
        <v>31</v>
      </c>
      <c r="H5">
        <v>1</v>
      </c>
      <c r="I5">
        <v>1799</v>
      </c>
      <c r="J5">
        <v>1799</v>
      </c>
      <c r="K5" t="s">
        <v>17</v>
      </c>
      <c r="L5" t="s">
        <v>1409</v>
      </c>
      <c r="M5" t="s">
        <v>1413</v>
      </c>
    </row>
    <row r="6" spans="1:13">
      <c r="A6" t="s">
        <v>32</v>
      </c>
      <c r="B6" s="6">
        <v>46099</v>
      </c>
      <c r="C6" t="s">
        <v>33</v>
      </c>
      <c r="D6" t="s">
        <v>34</v>
      </c>
      <c r="E6" t="s">
        <v>14</v>
      </c>
      <c r="F6" t="s">
        <v>36</v>
      </c>
      <c r="G6" t="s">
        <v>37</v>
      </c>
      <c r="H6">
        <v>2</v>
      </c>
      <c r="I6">
        <v>2299</v>
      </c>
      <c r="J6">
        <v>4598</v>
      </c>
      <c r="K6" t="s">
        <v>17</v>
      </c>
      <c r="L6" t="s">
        <v>1409</v>
      </c>
      <c r="M6" t="s">
        <v>1412</v>
      </c>
    </row>
    <row r="7" spans="1:13">
      <c r="A7" t="s">
        <v>39</v>
      </c>
      <c r="B7" s="6">
        <v>46182</v>
      </c>
      <c r="C7" t="s">
        <v>40</v>
      </c>
      <c r="D7" t="s">
        <v>41</v>
      </c>
      <c r="E7" t="s">
        <v>21</v>
      </c>
      <c r="F7" t="s">
        <v>22</v>
      </c>
      <c r="G7" t="s">
        <v>43</v>
      </c>
      <c r="H7">
        <v>1</v>
      </c>
      <c r="I7">
        <v>1499</v>
      </c>
      <c r="J7">
        <v>1499</v>
      </c>
      <c r="K7" t="s">
        <v>17</v>
      </c>
      <c r="L7" t="s">
        <v>1409</v>
      </c>
      <c r="M7" t="s">
        <v>1414</v>
      </c>
    </row>
    <row r="8" spans="1:13">
      <c r="A8" t="s">
        <v>44</v>
      </c>
      <c r="B8" s="6">
        <v>46132</v>
      </c>
      <c r="C8" t="s">
        <v>45</v>
      </c>
      <c r="D8" t="s">
        <v>46</v>
      </c>
      <c r="E8" t="s">
        <v>14</v>
      </c>
      <c r="F8" t="s">
        <v>47</v>
      </c>
      <c r="G8" t="s">
        <v>48</v>
      </c>
      <c r="H8">
        <v>1</v>
      </c>
      <c r="I8">
        <v>499</v>
      </c>
      <c r="J8">
        <v>499</v>
      </c>
      <c r="K8" t="s">
        <v>17</v>
      </c>
      <c r="L8" t="s">
        <v>1409</v>
      </c>
      <c r="M8" t="s">
        <v>1411</v>
      </c>
    </row>
    <row r="9" spans="1:13">
      <c r="A9" t="s">
        <v>49</v>
      </c>
      <c r="B9" s="6">
        <v>46096</v>
      </c>
      <c r="C9" t="s">
        <v>50</v>
      </c>
      <c r="D9" t="s">
        <v>51</v>
      </c>
      <c r="E9" t="s">
        <v>21</v>
      </c>
      <c r="F9" t="s">
        <v>15</v>
      </c>
      <c r="G9" t="s">
        <v>52</v>
      </c>
      <c r="H9">
        <v>3</v>
      </c>
      <c r="I9">
        <v>899</v>
      </c>
      <c r="J9">
        <v>2697</v>
      </c>
      <c r="K9" t="s">
        <v>17</v>
      </c>
      <c r="L9" t="s">
        <v>1409</v>
      </c>
      <c r="M9" t="s">
        <v>1412</v>
      </c>
    </row>
    <row r="10" spans="1:13">
      <c r="A10" t="s">
        <v>53</v>
      </c>
      <c r="B10" s="6">
        <v>46142</v>
      </c>
      <c r="C10" t="s">
        <v>54</v>
      </c>
      <c r="D10" t="s">
        <v>55</v>
      </c>
      <c r="E10" t="s">
        <v>14</v>
      </c>
      <c r="F10" t="s">
        <v>47</v>
      </c>
      <c r="G10" t="s">
        <v>56</v>
      </c>
      <c r="H10">
        <v>1</v>
      </c>
      <c r="I10">
        <v>3499</v>
      </c>
      <c r="J10">
        <v>3499</v>
      </c>
      <c r="K10" t="s">
        <v>17</v>
      </c>
      <c r="L10" t="s">
        <v>1409</v>
      </c>
      <c r="M10" t="s">
        <v>1411</v>
      </c>
    </row>
    <row r="11" spans="1:13">
      <c r="A11" t="s">
        <v>57</v>
      </c>
      <c r="B11" s="6">
        <v>46051</v>
      </c>
      <c r="C11" t="s">
        <v>58</v>
      </c>
      <c r="D11" t="s">
        <v>59</v>
      </c>
      <c r="E11" t="s">
        <v>14</v>
      </c>
      <c r="F11" t="s">
        <v>25</v>
      </c>
      <c r="G11" t="s">
        <v>26</v>
      </c>
      <c r="H11">
        <v>1</v>
      </c>
      <c r="I11">
        <v>1299</v>
      </c>
      <c r="J11">
        <v>1299</v>
      </c>
      <c r="K11" t="s">
        <v>78</v>
      </c>
      <c r="L11" t="s">
        <v>1409</v>
      </c>
      <c r="M11" t="s">
        <v>1413</v>
      </c>
    </row>
    <row r="12" spans="1:13">
      <c r="A12" t="s">
        <v>61</v>
      </c>
      <c r="B12" s="6">
        <v>46186</v>
      </c>
      <c r="C12" t="s">
        <v>62</v>
      </c>
      <c r="D12" t="s">
        <v>63</v>
      </c>
      <c r="E12" t="s">
        <v>64</v>
      </c>
      <c r="F12" t="s">
        <v>15</v>
      </c>
      <c r="G12" t="s">
        <v>16</v>
      </c>
      <c r="H12">
        <v>2</v>
      </c>
      <c r="I12">
        <v>1999</v>
      </c>
      <c r="J12">
        <v>3998</v>
      </c>
      <c r="K12" t="s">
        <v>17</v>
      </c>
      <c r="L12" t="s">
        <v>1409</v>
      </c>
      <c r="M12" t="s">
        <v>1414</v>
      </c>
    </row>
    <row r="13" spans="1:13">
      <c r="A13" t="s">
        <v>65</v>
      </c>
      <c r="B13" s="6">
        <v>46110</v>
      </c>
      <c r="C13" t="s">
        <v>66</v>
      </c>
      <c r="D13" t="s">
        <v>67</v>
      </c>
      <c r="E13" t="s">
        <v>21</v>
      </c>
      <c r="F13" t="s">
        <v>25</v>
      </c>
      <c r="G13" t="s">
        <v>69</v>
      </c>
      <c r="H13">
        <v>1</v>
      </c>
      <c r="I13">
        <v>2199</v>
      </c>
      <c r="J13">
        <v>2199</v>
      </c>
      <c r="K13" t="s">
        <v>17</v>
      </c>
      <c r="L13" t="s">
        <v>1409</v>
      </c>
      <c r="M13" t="s">
        <v>1412</v>
      </c>
    </row>
    <row r="14" spans="1:13">
      <c r="A14" t="s">
        <v>70</v>
      </c>
      <c r="B14" s="6">
        <v>46045</v>
      </c>
      <c r="C14" t="s">
        <v>71</v>
      </c>
      <c r="D14" t="s">
        <v>72</v>
      </c>
      <c r="E14" t="s">
        <v>73</v>
      </c>
      <c r="F14" t="s">
        <v>36</v>
      </c>
      <c r="G14" t="s">
        <v>37</v>
      </c>
      <c r="H14">
        <v>1</v>
      </c>
      <c r="I14">
        <v>2299</v>
      </c>
      <c r="J14">
        <v>2299</v>
      </c>
      <c r="K14" t="s">
        <v>17</v>
      </c>
      <c r="L14" t="s">
        <v>1409</v>
      </c>
      <c r="M14" t="s">
        <v>1413</v>
      </c>
    </row>
    <row r="15" spans="1:13">
      <c r="A15" t="s">
        <v>74</v>
      </c>
      <c r="B15" s="6">
        <v>46122</v>
      </c>
      <c r="C15" t="s">
        <v>75</v>
      </c>
      <c r="D15" t="s">
        <v>76</v>
      </c>
      <c r="E15" t="s">
        <v>64</v>
      </c>
      <c r="F15" t="s">
        <v>25</v>
      </c>
      <c r="G15" t="s">
        <v>69</v>
      </c>
      <c r="H15">
        <v>1</v>
      </c>
      <c r="I15">
        <v>2199</v>
      </c>
      <c r="J15">
        <v>2199</v>
      </c>
      <c r="K15" t="s">
        <v>78</v>
      </c>
      <c r="L15" t="s">
        <v>1409</v>
      </c>
      <c r="M15" t="s">
        <v>1411</v>
      </c>
    </row>
    <row r="16" spans="1:13">
      <c r="A16" t="s">
        <v>79</v>
      </c>
      <c r="B16" s="6">
        <v>46188</v>
      </c>
      <c r="C16" t="s">
        <v>80</v>
      </c>
      <c r="D16" t="s">
        <v>81</v>
      </c>
      <c r="E16" t="s">
        <v>30</v>
      </c>
      <c r="F16" t="s">
        <v>22</v>
      </c>
      <c r="G16" t="s">
        <v>43</v>
      </c>
      <c r="H16">
        <v>1</v>
      </c>
      <c r="I16">
        <v>1499</v>
      </c>
      <c r="J16">
        <v>1499</v>
      </c>
      <c r="K16" t="s">
        <v>17</v>
      </c>
      <c r="L16" t="s">
        <v>1409</v>
      </c>
      <c r="M16" t="s">
        <v>1414</v>
      </c>
    </row>
    <row r="17" spans="1:13">
      <c r="A17" t="s">
        <v>82</v>
      </c>
      <c r="B17" s="6">
        <v>46184</v>
      </c>
      <c r="C17" t="s">
        <v>83</v>
      </c>
      <c r="D17" t="s">
        <v>84</v>
      </c>
      <c r="E17" t="s">
        <v>64</v>
      </c>
      <c r="F17" t="s">
        <v>15</v>
      </c>
      <c r="G17" t="s">
        <v>16</v>
      </c>
      <c r="H17">
        <v>1</v>
      </c>
      <c r="I17">
        <v>1999</v>
      </c>
      <c r="J17">
        <v>1999</v>
      </c>
      <c r="K17" t="s">
        <v>17</v>
      </c>
      <c r="L17" t="s">
        <v>1409</v>
      </c>
      <c r="M17" t="s">
        <v>1414</v>
      </c>
    </row>
    <row r="18" spans="1:13">
      <c r="A18" t="s">
        <v>86</v>
      </c>
      <c r="B18" s="6">
        <v>46160</v>
      </c>
      <c r="C18" t="s">
        <v>87</v>
      </c>
      <c r="D18" t="s">
        <v>88</v>
      </c>
      <c r="E18" t="s">
        <v>89</v>
      </c>
      <c r="F18" t="s">
        <v>47</v>
      </c>
      <c r="G18" t="s">
        <v>56</v>
      </c>
      <c r="H18">
        <v>1</v>
      </c>
      <c r="I18">
        <v>3499</v>
      </c>
      <c r="J18">
        <v>3499</v>
      </c>
      <c r="K18" t="s">
        <v>17</v>
      </c>
      <c r="L18" t="s">
        <v>1409</v>
      </c>
      <c r="M18" t="s">
        <v>1415</v>
      </c>
    </row>
    <row r="19" spans="1:13">
      <c r="A19" t="s">
        <v>90</v>
      </c>
      <c r="B19" s="6">
        <v>46187</v>
      </c>
      <c r="C19" t="s">
        <v>40</v>
      </c>
      <c r="D19" t="s">
        <v>41</v>
      </c>
      <c r="E19" t="s">
        <v>21</v>
      </c>
      <c r="F19" t="s">
        <v>15</v>
      </c>
      <c r="G19" t="s">
        <v>52</v>
      </c>
      <c r="H19">
        <v>1</v>
      </c>
      <c r="I19">
        <v>899</v>
      </c>
      <c r="J19">
        <v>899</v>
      </c>
      <c r="K19" t="s">
        <v>17</v>
      </c>
      <c r="L19" t="s">
        <v>1409</v>
      </c>
      <c r="M19" t="s">
        <v>1414</v>
      </c>
    </row>
    <row r="20" spans="1:13">
      <c r="A20" t="s">
        <v>91</v>
      </c>
      <c r="B20" s="6">
        <v>46106</v>
      </c>
      <c r="C20" t="s">
        <v>92</v>
      </c>
      <c r="D20" t="s">
        <v>93</v>
      </c>
      <c r="E20" t="s">
        <v>73</v>
      </c>
      <c r="F20" t="s">
        <v>25</v>
      </c>
      <c r="G20" t="s">
        <v>31</v>
      </c>
      <c r="H20">
        <v>2</v>
      </c>
      <c r="I20">
        <v>1799</v>
      </c>
      <c r="J20">
        <v>3598</v>
      </c>
      <c r="K20" t="s">
        <v>17</v>
      </c>
      <c r="L20" t="s">
        <v>1409</v>
      </c>
      <c r="M20" t="s">
        <v>1412</v>
      </c>
    </row>
    <row r="21" spans="1:13">
      <c r="A21" t="s">
        <v>94</v>
      </c>
      <c r="B21" s="6">
        <v>46072</v>
      </c>
      <c r="C21" t="s">
        <v>95</v>
      </c>
      <c r="D21" t="s">
        <v>84</v>
      </c>
      <c r="E21" t="s">
        <v>64</v>
      </c>
      <c r="F21" t="s">
        <v>47</v>
      </c>
      <c r="G21" t="s">
        <v>48</v>
      </c>
      <c r="H21">
        <v>2</v>
      </c>
      <c r="I21">
        <v>499</v>
      </c>
      <c r="J21">
        <v>998</v>
      </c>
      <c r="K21" t="s">
        <v>17</v>
      </c>
      <c r="L21" t="s">
        <v>1409</v>
      </c>
      <c r="M21" t="s">
        <v>1410</v>
      </c>
    </row>
    <row r="22" spans="1:13">
      <c r="A22" t="s">
        <v>97</v>
      </c>
      <c r="B22" s="6">
        <v>46029</v>
      </c>
      <c r="C22" t="s">
        <v>98</v>
      </c>
      <c r="D22" t="s">
        <v>99</v>
      </c>
      <c r="E22" t="s">
        <v>64</v>
      </c>
      <c r="F22" t="s">
        <v>47</v>
      </c>
      <c r="G22" t="s">
        <v>100</v>
      </c>
      <c r="H22">
        <v>1</v>
      </c>
      <c r="I22">
        <v>2799</v>
      </c>
      <c r="J22">
        <v>2799</v>
      </c>
      <c r="K22" t="s">
        <v>17</v>
      </c>
      <c r="L22" t="s">
        <v>1409</v>
      </c>
      <c r="M22" t="s">
        <v>1413</v>
      </c>
    </row>
    <row r="23" spans="1:13">
      <c r="A23" t="s">
        <v>101</v>
      </c>
      <c r="B23" s="6">
        <v>46133</v>
      </c>
      <c r="C23" t="s">
        <v>102</v>
      </c>
      <c r="D23" t="s">
        <v>103</v>
      </c>
      <c r="E23" t="s">
        <v>104</v>
      </c>
      <c r="F23" t="s">
        <v>22</v>
      </c>
      <c r="G23" t="s">
        <v>43</v>
      </c>
      <c r="H23">
        <v>1</v>
      </c>
      <c r="I23">
        <v>1499</v>
      </c>
      <c r="J23">
        <v>1499</v>
      </c>
      <c r="K23" t="s">
        <v>17</v>
      </c>
      <c r="L23" t="s">
        <v>1409</v>
      </c>
      <c r="M23" t="s">
        <v>1411</v>
      </c>
    </row>
    <row r="24" spans="1:13">
      <c r="A24" t="s">
        <v>105</v>
      </c>
      <c r="B24" s="6">
        <v>46190</v>
      </c>
      <c r="C24" t="s">
        <v>106</v>
      </c>
      <c r="D24" t="s">
        <v>107</v>
      </c>
      <c r="E24" t="s">
        <v>21</v>
      </c>
      <c r="F24" t="s">
        <v>36</v>
      </c>
      <c r="G24" t="s">
        <v>37</v>
      </c>
      <c r="H24">
        <v>1</v>
      </c>
      <c r="I24">
        <v>2299</v>
      </c>
      <c r="J24">
        <v>2299</v>
      </c>
      <c r="K24" t="s">
        <v>17</v>
      </c>
      <c r="L24" t="s">
        <v>1409</v>
      </c>
      <c r="M24" t="s">
        <v>1414</v>
      </c>
    </row>
    <row r="25" spans="1:13">
      <c r="A25" t="s">
        <v>109</v>
      </c>
      <c r="B25" s="6">
        <v>46189</v>
      </c>
      <c r="C25" t="s">
        <v>110</v>
      </c>
      <c r="D25" t="s">
        <v>111</v>
      </c>
      <c r="E25" t="s">
        <v>30</v>
      </c>
      <c r="F25" t="s">
        <v>22</v>
      </c>
      <c r="G25" t="s">
        <v>43</v>
      </c>
      <c r="H25">
        <v>1</v>
      </c>
      <c r="I25">
        <v>1499</v>
      </c>
      <c r="J25">
        <v>1499</v>
      </c>
      <c r="K25" t="s">
        <v>17</v>
      </c>
      <c r="L25" t="s">
        <v>1409</v>
      </c>
      <c r="M25" t="s">
        <v>1414</v>
      </c>
    </row>
    <row r="26" spans="1:13">
      <c r="A26" t="s">
        <v>112</v>
      </c>
      <c r="B26" s="6">
        <v>46156</v>
      </c>
      <c r="C26" t="s">
        <v>113</v>
      </c>
      <c r="D26" t="s">
        <v>114</v>
      </c>
      <c r="E26" t="s">
        <v>14</v>
      </c>
      <c r="F26" t="s">
        <v>25</v>
      </c>
      <c r="G26" t="s">
        <v>115</v>
      </c>
      <c r="H26">
        <v>1</v>
      </c>
      <c r="I26">
        <v>3999</v>
      </c>
      <c r="J26">
        <v>3999</v>
      </c>
      <c r="K26" t="s">
        <v>17</v>
      </c>
      <c r="L26" t="s">
        <v>1409</v>
      </c>
      <c r="M26" t="s">
        <v>1415</v>
      </c>
    </row>
    <row r="27" spans="1:13">
      <c r="A27" t="s">
        <v>116</v>
      </c>
      <c r="B27" s="6">
        <v>46072</v>
      </c>
      <c r="C27" t="s">
        <v>117</v>
      </c>
      <c r="D27" t="s">
        <v>118</v>
      </c>
      <c r="E27" t="s">
        <v>104</v>
      </c>
      <c r="F27" t="s">
        <v>36</v>
      </c>
      <c r="G27" t="s">
        <v>37</v>
      </c>
      <c r="H27">
        <v>3</v>
      </c>
      <c r="I27">
        <v>2299</v>
      </c>
      <c r="J27">
        <v>6897</v>
      </c>
      <c r="K27" t="s">
        <v>17</v>
      </c>
      <c r="L27" t="s">
        <v>1409</v>
      </c>
      <c r="M27" t="s">
        <v>1410</v>
      </c>
    </row>
    <row r="28" spans="1:13">
      <c r="A28" t="s">
        <v>121</v>
      </c>
      <c r="B28" s="6">
        <v>46179</v>
      </c>
      <c r="C28" t="s">
        <v>122</v>
      </c>
      <c r="D28" t="s">
        <v>123</v>
      </c>
      <c r="E28" t="s">
        <v>14</v>
      </c>
      <c r="F28" t="s">
        <v>25</v>
      </c>
      <c r="G28" t="s">
        <v>69</v>
      </c>
      <c r="H28">
        <v>1</v>
      </c>
      <c r="I28">
        <v>2199</v>
      </c>
      <c r="J28">
        <v>2199</v>
      </c>
      <c r="K28" t="s">
        <v>17</v>
      </c>
      <c r="L28" t="s">
        <v>1409</v>
      </c>
      <c r="M28" t="s">
        <v>1414</v>
      </c>
    </row>
    <row r="29" spans="1:13">
      <c r="A29" t="s">
        <v>124</v>
      </c>
      <c r="B29" s="6">
        <v>46093</v>
      </c>
      <c r="C29" t="s">
        <v>125</v>
      </c>
      <c r="D29" t="s">
        <v>126</v>
      </c>
      <c r="E29" t="s">
        <v>104</v>
      </c>
      <c r="F29" t="s">
        <v>47</v>
      </c>
      <c r="G29" t="s">
        <v>128</v>
      </c>
      <c r="H29">
        <v>1</v>
      </c>
      <c r="I29">
        <v>1199</v>
      </c>
      <c r="J29">
        <v>1199</v>
      </c>
      <c r="K29" t="s">
        <v>17</v>
      </c>
      <c r="L29" t="s">
        <v>1409</v>
      </c>
      <c r="M29" t="s">
        <v>1412</v>
      </c>
    </row>
    <row r="30" spans="1:13">
      <c r="A30" t="s">
        <v>129</v>
      </c>
      <c r="B30" s="6">
        <v>46111</v>
      </c>
      <c r="C30" t="s">
        <v>130</v>
      </c>
      <c r="D30" t="s">
        <v>131</v>
      </c>
      <c r="E30" t="s">
        <v>30</v>
      </c>
      <c r="F30" t="s">
        <v>25</v>
      </c>
      <c r="G30" t="s">
        <v>31</v>
      </c>
      <c r="H30">
        <v>1</v>
      </c>
      <c r="I30">
        <v>1799</v>
      </c>
      <c r="J30">
        <v>1799</v>
      </c>
      <c r="K30" t="s">
        <v>17</v>
      </c>
      <c r="L30" t="s">
        <v>1409</v>
      </c>
      <c r="M30" t="s">
        <v>1412</v>
      </c>
    </row>
    <row r="31" spans="1:13">
      <c r="A31" t="s">
        <v>132</v>
      </c>
      <c r="B31" s="6">
        <v>46124</v>
      </c>
      <c r="C31" t="s">
        <v>133</v>
      </c>
      <c r="D31" t="s">
        <v>134</v>
      </c>
      <c r="E31" t="s">
        <v>104</v>
      </c>
      <c r="F31" t="s">
        <v>22</v>
      </c>
      <c r="G31" t="s">
        <v>43</v>
      </c>
      <c r="H31">
        <v>1</v>
      </c>
      <c r="I31">
        <v>1499</v>
      </c>
      <c r="J31">
        <v>1499</v>
      </c>
      <c r="K31" t="s">
        <v>17</v>
      </c>
      <c r="L31" t="s">
        <v>1416</v>
      </c>
      <c r="M31" t="s">
        <v>1411</v>
      </c>
    </row>
    <row r="32" spans="1:13">
      <c r="A32" t="s">
        <v>135</v>
      </c>
      <c r="B32" s="6">
        <v>46060</v>
      </c>
      <c r="C32" t="s">
        <v>136</v>
      </c>
      <c r="D32" t="s">
        <v>137</v>
      </c>
      <c r="E32" t="s">
        <v>21</v>
      </c>
      <c r="F32" t="s">
        <v>22</v>
      </c>
      <c r="G32" t="s">
        <v>138</v>
      </c>
      <c r="H32">
        <v>1</v>
      </c>
      <c r="I32">
        <v>599</v>
      </c>
      <c r="J32">
        <v>599</v>
      </c>
      <c r="K32" t="s">
        <v>17</v>
      </c>
      <c r="L32" t="s">
        <v>1409</v>
      </c>
      <c r="M32" t="s">
        <v>1410</v>
      </c>
    </row>
    <row r="33" spans="1:13">
      <c r="A33" t="s">
        <v>139</v>
      </c>
      <c r="B33" s="6">
        <v>46061</v>
      </c>
      <c r="C33" t="s">
        <v>1417</v>
      </c>
      <c r="D33" t="s">
        <v>140</v>
      </c>
      <c r="E33" t="s">
        <v>73</v>
      </c>
      <c r="F33" t="s">
        <v>36</v>
      </c>
      <c r="G33" t="s">
        <v>141</v>
      </c>
      <c r="H33">
        <v>1</v>
      </c>
      <c r="I33">
        <v>999</v>
      </c>
      <c r="J33">
        <v>999</v>
      </c>
      <c r="K33" t="s">
        <v>17</v>
      </c>
      <c r="L33" t="s">
        <v>1409</v>
      </c>
      <c r="M33" t="s">
        <v>1410</v>
      </c>
    </row>
    <row r="34" spans="1:13">
      <c r="A34" t="s">
        <v>142</v>
      </c>
      <c r="B34" s="6">
        <v>46085</v>
      </c>
      <c r="C34" t="s">
        <v>143</v>
      </c>
      <c r="D34" t="s">
        <v>144</v>
      </c>
      <c r="E34" t="s">
        <v>14</v>
      </c>
      <c r="F34" t="s">
        <v>22</v>
      </c>
      <c r="G34" t="s">
        <v>43</v>
      </c>
      <c r="H34">
        <v>3</v>
      </c>
      <c r="I34">
        <v>1499</v>
      </c>
      <c r="J34">
        <v>4497</v>
      </c>
      <c r="K34" t="s">
        <v>17</v>
      </c>
      <c r="L34" t="s">
        <v>1409</v>
      </c>
      <c r="M34" t="s">
        <v>1412</v>
      </c>
    </row>
    <row r="35" spans="1:13">
      <c r="A35" t="s">
        <v>145</v>
      </c>
      <c r="B35" s="6">
        <v>46048</v>
      </c>
      <c r="C35" t="s">
        <v>146</v>
      </c>
      <c r="D35" t="s">
        <v>103</v>
      </c>
      <c r="E35" t="s">
        <v>89</v>
      </c>
      <c r="F35" t="s">
        <v>36</v>
      </c>
      <c r="G35" t="s">
        <v>141</v>
      </c>
      <c r="H35">
        <v>1</v>
      </c>
      <c r="I35">
        <v>999</v>
      </c>
      <c r="J35">
        <v>999</v>
      </c>
      <c r="K35" t="s">
        <v>17</v>
      </c>
      <c r="L35" t="s">
        <v>1409</v>
      </c>
      <c r="M35" t="s">
        <v>1413</v>
      </c>
    </row>
    <row r="36" spans="1:13">
      <c r="A36" t="s">
        <v>147</v>
      </c>
      <c r="B36" s="6">
        <v>46074</v>
      </c>
      <c r="C36" t="s">
        <v>149</v>
      </c>
      <c r="D36" t="s">
        <v>150</v>
      </c>
      <c r="E36" t="s">
        <v>73</v>
      </c>
      <c r="F36" t="s">
        <v>36</v>
      </c>
      <c r="G36" t="s">
        <v>151</v>
      </c>
      <c r="H36">
        <v>1</v>
      </c>
      <c r="I36">
        <v>799</v>
      </c>
      <c r="J36">
        <v>799</v>
      </c>
      <c r="K36" t="s">
        <v>17</v>
      </c>
      <c r="L36" t="s">
        <v>1409</v>
      </c>
      <c r="M36" t="s">
        <v>1410</v>
      </c>
    </row>
    <row r="37" spans="1:13">
      <c r="A37" t="s">
        <v>152</v>
      </c>
      <c r="B37" s="6">
        <v>46073</v>
      </c>
      <c r="C37" t="s">
        <v>110</v>
      </c>
      <c r="D37" t="s">
        <v>111</v>
      </c>
      <c r="E37" t="s">
        <v>30</v>
      </c>
      <c r="F37" t="s">
        <v>15</v>
      </c>
      <c r="G37" t="s">
        <v>16</v>
      </c>
      <c r="H37">
        <v>3</v>
      </c>
      <c r="I37">
        <v>1999</v>
      </c>
      <c r="J37">
        <v>5997</v>
      </c>
      <c r="K37" t="s">
        <v>17</v>
      </c>
      <c r="L37" t="s">
        <v>1409</v>
      </c>
      <c r="M37" t="s">
        <v>1410</v>
      </c>
    </row>
    <row r="38" spans="1:13">
      <c r="A38" t="s">
        <v>154</v>
      </c>
      <c r="B38" s="6">
        <v>46111</v>
      </c>
      <c r="C38" t="s">
        <v>155</v>
      </c>
      <c r="D38" t="s">
        <v>156</v>
      </c>
      <c r="E38" t="s">
        <v>89</v>
      </c>
      <c r="F38" t="s">
        <v>47</v>
      </c>
      <c r="G38" t="s">
        <v>128</v>
      </c>
      <c r="H38">
        <v>2</v>
      </c>
      <c r="I38">
        <v>1199</v>
      </c>
      <c r="J38">
        <v>2398</v>
      </c>
      <c r="K38" t="s">
        <v>17</v>
      </c>
      <c r="L38" t="s">
        <v>1409</v>
      </c>
      <c r="M38" t="s">
        <v>1412</v>
      </c>
    </row>
    <row r="39" spans="1:13">
      <c r="A39" t="s">
        <v>157</v>
      </c>
      <c r="B39" s="6">
        <v>46122</v>
      </c>
      <c r="C39" t="s">
        <v>158</v>
      </c>
      <c r="D39" t="s">
        <v>144</v>
      </c>
      <c r="E39" t="s">
        <v>104</v>
      </c>
      <c r="F39" t="s">
        <v>25</v>
      </c>
      <c r="G39" t="s">
        <v>115</v>
      </c>
      <c r="H39">
        <v>1</v>
      </c>
      <c r="I39">
        <v>3999</v>
      </c>
      <c r="J39">
        <v>3999</v>
      </c>
      <c r="K39" t="s">
        <v>17</v>
      </c>
      <c r="L39" t="s">
        <v>1409</v>
      </c>
      <c r="M39" t="s">
        <v>1411</v>
      </c>
    </row>
    <row r="40" spans="1:13">
      <c r="A40" t="s">
        <v>159</v>
      </c>
      <c r="B40" s="6">
        <v>46078</v>
      </c>
      <c r="C40" t="s">
        <v>160</v>
      </c>
      <c r="D40" t="s">
        <v>161</v>
      </c>
      <c r="E40" t="s">
        <v>64</v>
      </c>
      <c r="F40" t="s">
        <v>15</v>
      </c>
      <c r="G40" t="s">
        <v>162</v>
      </c>
      <c r="H40">
        <v>2</v>
      </c>
      <c r="I40">
        <v>1599</v>
      </c>
      <c r="J40">
        <v>3198</v>
      </c>
      <c r="K40" t="s">
        <v>17</v>
      </c>
      <c r="L40" t="s">
        <v>1409</v>
      </c>
      <c r="M40" t="s">
        <v>1410</v>
      </c>
    </row>
    <row r="41" spans="1:13">
      <c r="A41" t="s">
        <v>163</v>
      </c>
      <c r="B41" s="6">
        <v>46071</v>
      </c>
      <c r="C41" t="s">
        <v>164</v>
      </c>
      <c r="D41" t="s">
        <v>165</v>
      </c>
      <c r="E41" t="s">
        <v>104</v>
      </c>
      <c r="F41" t="s">
        <v>36</v>
      </c>
      <c r="G41" t="s">
        <v>37</v>
      </c>
      <c r="H41">
        <v>1</v>
      </c>
      <c r="I41">
        <v>2299</v>
      </c>
      <c r="J41">
        <v>2299</v>
      </c>
      <c r="K41" t="s">
        <v>17</v>
      </c>
      <c r="L41" t="s">
        <v>1409</v>
      </c>
      <c r="M41" t="s">
        <v>1410</v>
      </c>
    </row>
    <row r="42" spans="1:13">
      <c r="A42" t="s">
        <v>167</v>
      </c>
      <c r="B42" s="6">
        <v>46178</v>
      </c>
      <c r="C42" t="s">
        <v>168</v>
      </c>
      <c r="D42" t="s">
        <v>281</v>
      </c>
      <c r="E42" t="s">
        <v>64</v>
      </c>
      <c r="F42" t="s">
        <v>47</v>
      </c>
      <c r="G42" t="s">
        <v>128</v>
      </c>
      <c r="H42">
        <v>1</v>
      </c>
      <c r="I42">
        <v>1199</v>
      </c>
      <c r="J42">
        <v>1199</v>
      </c>
      <c r="K42" t="s">
        <v>17</v>
      </c>
      <c r="L42" t="s">
        <v>1409</v>
      </c>
      <c r="M42" t="s">
        <v>1414</v>
      </c>
    </row>
    <row r="43" spans="1:13">
      <c r="A43" t="s">
        <v>170</v>
      </c>
      <c r="B43" s="6">
        <v>46115</v>
      </c>
      <c r="C43" t="s">
        <v>28</v>
      </c>
      <c r="D43" t="s">
        <v>29</v>
      </c>
      <c r="E43" t="s">
        <v>30</v>
      </c>
      <c r="F43" t="s">
        <v>15</v>
      </c>
      <c r="G43" t="s">
        <v>162</v>
      </c>
      <c r="H43">
        <v>1</v>
      </c>
      <c r="I43">
        <v>1599</v>
      </c>
      <c r="J43">
        <v>1599</v>
      </c>
      <c r="K43" t="s">
        <v>17</v>
      </c>
      <c r="L43" t="s">
        <v>1409</v>
      </c>
      <c r="M43" t="s">
        <v>1411</v>
      </c>
    </row>
    <row r="44" spans="1:13">
      <c r="A44" t="s">
        <v>171</v>
      </c>
      <c r="B44" s="6">
        <v>46202</v>
      </c>
      <c r="C44" t="s">
        <v>172</v>
      </c>
      <c r="D44" t="s">
        <v>173</v>
      </c>
      <c r="E44" t="s">
        <v>30</v>
      </c>
      <c r="F44" t="s">
        <v>47</v>
      </c>
      <c r="G44" t="s">
        <v>56</v>
      </c>
      <c r="H44">
        <v>1</v>
      </c>
      <c r="I44">
        <v>3499</v>
      </c>
      <c r="J44">
        <v>3499</v>
      </c>
      <c r="K44" t="s">
        <v>17</v>
      </c>
      <c r="L44" t="s">
        <v>1409</v>
      </c>
      <c r="M44" t="s">
        <v>1414</v>
      </c>
    </row>
    <row r="45" spans="1:13">
      <c r="A45" t="s">
        <v>174</v>
      </c>
      <c r="B45" s="6">
        <v>46127</v>
      </c>
      <c r="C45" t="s">
        <v>71</v>
      </c>
      <c r="D45" t="s">
        <v>72</v>
      </c>
      <c r="E45" t="s">
        <v>73</v>
      </c>
      <c r="F45" t="s">
        <v>22</v>
      </c>
      <c r="G45" t="s">
        <v>43</v>
      </c>
      <c r="H45">
        <v>1</v>
      </c>
      <c r="I45">
        <v>1499</v>
      </c>
      <c r="J45">
        <v>1499</v>
      </c>
      <c r="K45" t="s">
        <v>17</v>
      </c>
      <c r="L45" t="s">
        <v>1409</v>
      </c>
      <c r="M45" t="s">
        <v>1411</v>
      </c>
    </row>
    <row r="46" spans="1:13">
      <c r="A46" t="s">
        <v>175</v>
      </c>
      <c r="B46" s="6">
        <v>46100</v>
      </c>
      <c r="C46" t="s">
        <v>176</v>
      </c>
      <c r="D46" t="s">
        <v>177</v>
      </c>
      <c r="E46" t="s">
        <v>104</v>
      </c>
      <c r="F46" t="s">
        <v>15</v>
      </c>
      <c r="G46" t="s">
        <v>16</v>
      </c>
      <c r="H46">
        <v>3</v>
      </c>
      <c r="I46">
        <v>1999</v>
      </c>
      <c r="J46">
        <v>5997</v>
      </c>
      <c r="K46" t="s">
        <v>17</v>
      </c>
      <c r="L46" t="s">
        <v>1409</v>
      </c>
      <c r="M46" t="s">
        <v>1412</v>
      </c>
    </row>
    <row r="47" spans="1:13">
      <c r="A47" t="s">
        <v>178</v>
      </c>
      <c r="B47" s="6">
        <v>46109</v>
      </c>
      <c r="C47" t="s">
        <v>179</v>
      </c>
      <c r="D47" t="s">
        <v>180</v>
      </c>
      <c r="E47" t="s">
        <v>104</v>
      </c>
      <c r="F47" t="s">
        <v>47</v>
      </c>
      <c r="G47" t="s">
        <v>100</v>
      </c>
      <c r="H47">
        <v>1</v>
      </c>
      <c r="I47">
        <v>2799</v>
      </c>
      <c r="J47">
        <v>2799</v>
      </c>
      <c r="K47" t="s">
        <v>17</v>
      </c>
      <c r="L47" t="s">
        <v>1409</v>
      </c>
      <c r="M47" t="s">
        <v>1412</v>
      </c>
    </row>
    <row r="48" spans="1:13">
      <c r="A48" t="s">
        <v>182</v>
      </c>
      <c r="B48" s="6">
        <v>46194</v>
      </c>
      <c r="C48" t="s">
        <v>183</v>
      </c>
      <c r="D48" t="s">
        <v>184</v>
      </c>
      <c r="E48" t="s">
        <v>21</v>
      </c>
      <c r="F48" t="s">
        <v>47</v>
      </c>
      <c r="G48" t="s">
        <v>48</v>
      </c>
      <c r="H48">
        <v>1</v>
      </c>
      <c r="I48">
        <v>499</v>
      </c>
      <c r="J48">
        <v>499</v>
      </c>
      <c r="K48" t="s">
        <v>17</v>
      </c>
      <c r="L48" t="s">
        <v>1409</v>
      </c>
      <c r="M48" t="s">
        <v>1414</v>
      </c>
    </row>
    <row r="49" spans="1:13">
      <c r="A49" t="s">
        <v>186</v>
      </c>
      <c r="B49" s="6">
        <v>46188</v>
      </c>
      <c r="C49" t="s">
        <v>187</v>
      </c>
      <c r="D49" t="s">
        <v>46</v>
      </c>
      <c r="E49" t="s">
        <v>14</v>
      </c>
      <c r="F49" t="s">
        <v>15</v>
      </c>
      <c r="G49" t="s">
        <v>52</v>
      </c>
      <c r="H49">
        <v>1</v>
      </c>
      <c r="I49">
        <v>899</v>
      </c>
      <c r="J49">
        <v>899</v>
      </c>
      <c r="K49" t="s">
        <v>17</v>
      </c>
      <c r="L49" t="s">
        <v>1409</v>
      </c>
      <c r="M49" t="s">
        <v>1414</v>
      </c>
    </row>
    <row r="50" spans="1:13">
      <c r="A50" t="s">
        <v>188</v>
      </c>
      <c r="B50" s="6">
        <v>46043</v>
      </c>
      <c r="C50" t="s">
        <v>189</v>
      </c>
      <c r="D50" t="s">
        <v>190</v>
      </c>
      <c r="E50" t="s">
        <v>104</v>
      </c>
      <c r="F50" t="s">
        <v>47</v>
      </c>
      <c r="G50" t="s">
        <v>56</v>
      </c>
      <c r="H50">
        <v>1</v>
      </c>
      <c r="I50">
        <v>3499</v>
      </c>
      <c r="J50">
        <v>3499</v>
      </c>
      <c r="K50" t="s">
        <v>17</v>
      </c>
      <c r="L50" t="s">
        <v>1409</v>
      </c>
      <c r="M50" t="s">
        <v>1413</v>
      </c>
    </row>
    <row r="51" spans="1:13">
      <c r="A51" t="s">
        <v>191</v>
      </c>
      <c r="B51" s="6">
        <v>46116</v>
      </c>
      <c r="C51" t="s">
        <v>80</v>
      </c>
      <c r="D51" t="s">
        <v>81</v>
      </c>
      <c r="E51" t="s">
        <v>30</v>
      </c>
      <c r="F51" t="s">
        <v>36</v>
      </c>
      <c r="G51" t="s">
        <v>141</v>
      </c>
      <c r="H51">
        <v>1</v>
      </c>
      <c r="I51">
        <v>999</v>
      </c>
      <c r="J51">
        <v>999</v>
      </c>
      <c r="K51" t="s">
        <v>17</v>
      </c>
      <c r="L51" t="s">
        <v>1409</v>
      </c>
      <c r="M51" t="s">
        <v>1411</v>
      </c>
    </row>
    <row r="52" spans="1:13">
      <c r="A52" t="s">
        <v>192</v>
      </c>
      <c r="B52" s="6">
        <v>46113</v>
      </c>
      <c r="C52" t="s">
        <v>193</v>
      </c>
      <c r="D52" t="s">
        <v>194</v>
      </c>
      <c r="E52" t="s">
        <v>30</v>
      </c>
      <c r="F52" t="s">
        <v>22</v>
      </c>
      <c r="G52" t="s">
        <v>196</v>
      </c>
      <c r="H52">
        <v>1</v>
      </c>
      <c r="I52">
        <v>2499</v>
      </c>
      <c r="J52">
        <v>2499</v>
      </c>
      <c r="K52" t="s">
        <v>17</v>
      </c>
      <c r="L52" t="s">
        <v>1409</v>
      </c>
      <c r="M52" t="s">
        <v>1411</v>
      </c>
    </row>
    <row r="53" spans="1:13">
      <c r="A53" t="s">
        <v>197</v>
      </c>
      <c r="B53" s="6">
        <v>46030</v>
      </c>
      <c r="C53" t="s">
        <v>198</v>
      </c>
      <c r="D53" t="s">
        <v>88</v>
      </c>
      <c r="E53" t="s">
        <v>30</v>
      </c>
      <c r="F53" t="s">
        <v>22</v>
      </c>
      <c r="G53" t="s">
        <v>43</v>
      </c>
      <c r="H53">
        <v>2</v>
      </c>
      <c r="I53">
        <v>1499</v>
      </c>
      <c r="J53">
        <v>2998</v>
      </c>
      <c r="K53" t="s">
        <v>17</v>
      </c>
      <c r="L53" t="s">
        <v>1409</v>
      </c>
      <c r="M53" t="s">
        <v>1413</v>
      </c>
    </row>
    <row r="54" spans="1:13">
      <c r="A54" t="s">
        <v>200</v>
      </c>
      <c r="B54" s="6">
        <v>46098</v>
      </c>
      <c r="C54" t="s">
        <v>201</v>
      </c>
      <c r="D54" t="s">
        <v>202</v>
      </c>
      <c r="E54" t="s">
        <v>30</v>
      </c>
      <c r="F54" t="s">
        <v>47</v>
      </c>
      <c r="G54" t="s">
        <v>56</v>
      </c>
      <c r="H54">
        <v>1</v>
      </c>
      <c r="I54">
        <v>3499</v>
      </c>
      <c r="J54">
        <v>3499</v>
      </c>
      <c r="K54" t="s">
        <v>17</v>
      </c>
      <c r="L54" t="s">
        <v>1409</v>
      </c>
      <c r="M54" t="s">
        <v>1412</v>
      </c>
    </row>
    <row r="55" spans="1:13">
      <c r="A55" t="s">
        <v>203</v>
      </c>
      <c r="B55" s="6">
        <v>46190</v>
      </c>
      <c r="C55" t="s">
        <v>204</v>
      </c>
      <c r="D55" t="s">
        <v>205</v>
      </c>
      <c r="E55" t="s">
        <v>64</v>
      </c>
      <c r="F55" t="s">
        <v>15</v>
      </c>
      <c r="G55" t="s">
        <v>16</v>
      </c>
      <c r="H55">
        <v>1</v>
      </c>
      <c r="I55">
        <v>1999</v>
      </c>
      <c r="J55">
        <v>1999</v>
      </c>
      <c r="K55" t="s">
        <v>17</v>
      </c>
      <c r="L55" t="s">
        <v>1409</v>
      </c>
      <c r="M55" t="s">
        <v>1414</v>
      </c>
    </row>
    <row r="56" spans="1:13">
      <c r="A56" t="s">
        <v>206</v>
      </c>
      <c r="B56" s="6">
        <v>46174</v>
      </c>
      <c r="C56" t="s">
        <v>207</v>
      </c>
      <c r="D56" t="s">
        <v>208</v>
      </c>
      <c r="E56" t="s">
        <v>64</v>
      </c>
      <c r="F56" t="s">
        <v>22</v>
      </c>
      <c r="G56" t="s">
        <v>43</v>
      </c>
      <c r="H56">
        <v>1</v>
      </c>
      <c r="I56">
        <v>1499</v>
      </c>
      <c r="J56">
        <v>1499</v>
      </c>
      <c r="K56" t="s">
        <v>17</v>
      </c>
      <c r="L56" t="s">
        <v>1409</v>
      </c>
      <c r="M56" t="s">
        <v>1414</v>
      </c>
    </row>
    <row r="57" spans="1:13">
      <c r="A57" t="s">
        <v>209</v>
      </c>
      <c r="B57" s="6">
        <v>46107</v>
      </c>
      <c r="C57" t="s">
        <v>210</v>
      </c>
      <c r="D57" t="s">
        <v>211</v>
      </c>
      <c r="E57" t="s">
        <v>14</v>
      </c>
      <c r="F57" t="s">
        <v>47</v>
      </c>
      <c r="G57" t="s">
        <v>48</v>
      </c>
      <c r="H57">
        <v>1</v>
      </c>
      <c r="I57">
        <v>499</v>
      </c>
      <c r="J57">
        <v>499</v>
      </c>
      <c r="K57" t="s">
        <v>17</v>
      </c>
      <c r="L57" t="s">
        <v>1409</v>
      </c>
      <c r="M57" t="s">
        <v>1412</v>
      </c>
    </row>
    <row r="58" spans="1:13">
      <c r="A58" t="s">
        <v>212</v>
      </c>
      <c r="B58" s="6">
        <v>46040</v>
      </c>
      <c r="C58" t="s">
        <v>98</v>
      </c>
      <c r="D58" t="s">
        <v>99</v>
      </c>
      <c r="E58" t="s">
        <v>64</v>
      </c>
      <c r="F58" t="s">
        <v>22</v>
      </c>
      <c r="G58" t="s">
        <v>196</v>
      </c>
      <c r="H58">
        <v>1</v>
      </c>
      <c r="I58">
        <v>2499</v>
      </c>
      <c r="J58">
        <v>2499</v>
      </c>
      <c r="K58" t="s">
        <v>17</v>
      </c>
      <c r="L58" t="s">
        <v>1409</v>
      </c>
      <c r="M58" t="s">
        <v>1413</v>
      </c>
    </row>
    <row r="59" spans="1:13">
      <c r="A59" t="s">
        <v>213</v>
      </c>
      <c r="B59" s="6">
        <v>46024</v>
      </c>
      <c r="C59" t="s">
        <v>75</v>
      </c>
      <c r="D59" t="s">
        <v>76</v>
      </c>
      <c r="E59" t="s">
        <v>64</v>
      </c>
      <c r="F59" t="s">
        <v>15</v>
      </c>
      <c r="G59" t="s">
        <v>162</v>
      </c>
      <c r="H59">
        <v>1</v>
      </c>
      <c r="I59">
        <v>1599</v>
      </c>
      <c r="J59">
        <v>1599</v>
      </c>
      <c r="K59" t="s">
        <v>17</v>
      </c>
      <c r="L59" t="s">
        <v>1409</v>
      </c>
      <c r="M59" t="s">
        <v>1413</v>
      </c>
    </row>
    <row r="60" spans="1:13">
      <c r="A60" t="s">
        <v>215</v>
      </c>
      <c r="B60" s="6">
        <v>46080</v>
      </c>
      <c r="C60" t="s">
        <v>216</v>
      </c>
      <c r="D60" t="s">
        <v>202</v>
      </c>
      <c r="E60" t="s">
        <v>217</v>
      </c>
      <c r="F60" t="s">
        <v>36</v>
      </c>
      <c r="G60" t="s">
        <v>141</v>
      </c>
      <c r="H60">
        <v>2</v>
      </c>
      <c r="I60">
        <v>999</v>
      </c>
      <c r="J60">
        <v>1998</v>
      </c>
      <c r="K60" t="s">
        <v>17</v>
      </c>
      <c r="L60" t="s">
        <v>1416</v>
      </c>
      <c r="M60" t="s">
        <v>1410</v>
      </c>
    </row>
    <row r="61" spans="1:13">
      <c r="A61" t="s">
        <v>218</v>
      </c>
      <c r="B61" s="6">
        <v>46104</v>
      </c>
      <c r="C61" t="s">
        <v>204</v>
      </c>
      <c r="D61" t="s">
        <v>205</v>
      </c>
      <c r="E61" t="s">
        <v>64</v>
      </c>
      <c r="F61" t="s">
        <v>22</v>
      </c>
      <c r="G61" t="s">
        <v>196</v>
      </c>
      <c r="H61">
        <v>1</v>
      </c>
      <c r="I61">
        <v>2499</v>
      </c>
      <c r="J61">
        <v>2499</v>
      </c>
      <c r="K61" t="s">
        <v>17</v>
      </c>
      <c r="L61" t="s">
        <v>1409</v>
      </c>
      <c r="M61" t="s">
        <v>1412</v>
      </c>
    </row>
    <row r="62" spans="1:13">
      <c r="A62" t="s">
        <v>221</v>
      </c>
      <c r="B62" s="6">
        <v>46151</v>
      </c>
      <c r="C62" t="s">
        <v>149</v>
      </c>
      <c r="D62" t="s">
        <v>150</v>
      </c>
      <c r="E62" t="s">
        <v>73</v>
      </c>
      <c r="F62" t="s">
        <v>36</v>
      </c>
      <c r="G62" t="s">
        <v>141</v>
      </c>
      <c r="H62">
        <v>1</v>
      </c>
      <c r="I62">
        <v>999</v>
      </c>
      <c r="J62">
        <v>999</v>
      </c>
      <c r="K62" t="s">
        <v>17</v>
      </c>
      <c r="L62" t="s">
        <v>1409</v>
      </c>
      <c r="M62" t="s">
        <v>1415</v>
      </c>
    </row>
    <row r="63" spans="1:13">
      <c r="A63" t="s">
        <v>223</v>
      </c>
      <c r="B63" s="6">
        <v>46145</v>
      </c>
      <c r="C63" t="s">
        <v>143</v>
      </c>
      <c r="D63" t="s">
        <v>144</v>
      </c>
      <c r="E63" t="s">
        <v>14</v>
      </c>
      <c r="F63" t="s">
        <v>25</v>
      </c>
      <c r="G63" t="s">
        <v>31</v>
      </c>
      <c r="H63">
        <v>1</v>
      </c>
      <c r="I63">
        <v>1799</v>
      </c>
      <c r="J63">
        <v>1799</v>
      </c>
      <c r="K63" t="s">
        <v>17</v>
      </c>
      <c r="L63" t="s">
        <v>1409</v>
      </c>
      <c r="M63" t="s">
        <v>1415</v>
      </c>
    </row>
    <row r="64" spans="1:13">
      <c r="A64" t="s">
        <v>225</v>
      </c>
      <c r="B64" s="6">
        <v>46203</v>
      </c>
      <c r="C64" t="s">
        <v>226</v>
      </c>
      <c r="D64" t="s">
        <v>227</v>
      </c>
      <c r="E64" t="s">
        <v>30</v>
      </c>
      <c r="F64" t="s">
        <v>15</v>
      </c>
      <c r="G64" t="s">
        <v>162</v>
      </c>
      <c r="H64">
        <v>1</v>
      </c>
      <c r="I64">
        <v>1599</v>
      </c>
      <c r="J64">
        <v>1599</v>
      </c>
      <c r="K64" t="s">
        <v>17</v>
      </c>
      <c r="L64" t="s">
        <v>1409</v>
      </c>
      <c r="M64" t="s">
        <v>1414</v>
      </c>
    </row>
    <row r="65" spans="1:13">
      <c r="A65" t="s">
        <v>228</v>
      </c>
      <c r="B65" s="6">
        <v>46086</v>
      </c>
      <c r="C65" t="s">
        <v>201</v>
      </c>
      <c r="D65" t="s">
        <v>202</v>
      </c>
      <c r="E65" t="s">
        <v>30</v>
      </c>
      <c r="F65" t="s">
        <v>25</v>
      </c>
      <c r="G65" t="s">
        <v>26</v>
      </c>
      <c r="H65">
        <v>1</v>
      </c>
      <c r="I65">
        <v>1299</v>
      </c>
      <c r="J65">
        <v>1299</v>
      </c>
      <c r="K65" t="s">
        <v>17</v>
      </c>
      <c r="L65" t="s">
        <v>1409</v>
      </c>
      <c r="M65" t="s">
        <v>1412</v>
      </c>
    </row>
    <row r="66" spans="1:13">
      <c r="A66" t="s">
        <v>230</v>
      </c>
      <c r="B66" s="6">
        <v>46176</v>
      </c>
      <c r="C66" t="s">
        <v>146</v>
      </c>
      <c r="D66" t="s">
        <v>103</v>
      </c>
      <c r="E66" t="s">
        <v>89</v>
      </c>
      <c r="F66" t="s">
        <v>22</v>
      </c>
      <c r="G66" t="s">
        <v>43</v>
      </c>
      <c r="H66">
        <v>1</v>
      </c>
      <c r="I66">
        <v>1499</v>
      </c>
      <c r="J66">
        <v>1499</v>
      </c>
      <c r="K66" t="s">
        <v>17</v>
      </c>
      <c r="L66" t="s">
        <v>1409</v>
      </c>
      <c r="M66" t="s">
        <v>1414</v>
      </c>
    </row>
    <row r="67" spans="1:13">
      <c r="A67" t="s">
        <v>231</v>
      </c>
      <c r="B67" s="6">
        <v>46088</v>
      </c>
      <c r="C67" t="s">
        <v>232</v>
      </c>
      <c r="D67" t="s">
        <v>107</v>
      </c>
      <c r="E67" t="s">
        <v>73</v>
      </c>
      <c r="F67" t="s">
        <v>47</v>
      </c>
      <c r="G67" t="s">
        <v>48</v>
      </c>
      <c r="H67">
        <v>1</v>
      </c>
      <c r="I67">
        <v>499</v>
      </c>
      <c r="J67">
        <v>499</v>
      </c>
      <c r="K67" t="s">
        <v>17</v>
      </c>
      <c r="L67" t="s">
        <v>1418</v>
      </c>
      <c r="M67" t="s">
        <v>1412</v>
      </c>
    </row>
    <row r="68" spans="1:13">
      <c r="A68" t="s">
        <v>234</v>
      </c>
      <c r="B68" s="6">
        <v>46140</v>
      </c>
      <c r="C68" t="s">
        <v>235</v>
      </c>
      <c r="D68" t="s">
        <v>205</v>
      </c>
      <c r="E68" t="s">
        <v>64</v>
      </c>
      <c r="F68" t="s">
        <v>15</v>
      </c>
      <c r="G68" t="s">
        <v>162</v>
      </c>
      <c r="H68">
        <v>1</v>
      </c>
      <c r="I68">
        <v>1599</v>
      </c>
      <c r="J68">
        <v>1599</v>
      </c>
      <c r="K68" t="s">
        <v>17</v>
      </c>
      <c r="L68" t="s">
        <v>1409</v>
      </c>
      <c r="M68" t="s">
        <v>1411</v>
      </c>
    </row>
    <row r="69" spans="1:13">
      <c r="A69" t="s">
        <v>237</v>
      </c>
      <c r="B69" s="6">
        <v>46140</v>
      </c>
      <c r="C69" t="s">
        <v>238</v>
      </c>
      <c r="D69" t="s">
        <v>140</v>
      </c>
      <c r="E69" t="s">
        <v>73</v>
      </c>
      <c r="F69" t="s">
        <v>22</v>
      </c>
      <c r="G69" t="s">
        <v>196</v>
      </c>
      <c r="H69">
        <v>1</v>
      </c>
      <c r="I69">
        <v>2499</v>
      </c>
      <c r="J69">
        <v>2499</v>
      </c>
      <c r="K69" t="s">
        <v>17</v>
      </c>
      <c r="L69" t="s">
        <v>1409</v>
      </c>
      <c r="M69" t="s">
        <v>1411</v>
      </c>
    </row>
    <row r="70" spans="1:13">
      <c r="A70" t="s">
        <v>240</v>
      </c>
      <c r="B70" s="6">
        <v>46115</v>
      </c>
      <c r="C70" t="s">
        <v>241</v>
      </c>
      <c r="D70" t="s">
        <v>242</v>
      </c>
      <c r="E70" t="s">
        <v>89</v>
      </c>
      <c r="F70" t="s">
        <v>22</v>
      </c>
      <c r="G70" t="s">
        <v>23</v>
      </c>
      <c r="H70">
        <v>1</v>
      </c>
      <c r="I70">
        <v>3299</v>
      </c>
      <c r="J70">
        <v>3299</v>
      </c>
      <c r="K70" t="s">
        <v>17</v>
      </c>
      <c r="L70" t="s">
        <v>1409</v>
      </c>
      <c r="M70" t="s">
        <v>1411</v>
      </c>
    </row>
    <row r="71" spans="1:13">
      <c r="A71" t="s">
        <v>243</v>
      </c>
      <c r="B71" s="6">
        <v>46184</v>
      </c>
      <c r="C71" t="s">
        <v>244</v>
      </c>
      <c r="D71" t="s">
        <v>245</v>
      </c>
      <c r="E71" t="s">
        <v>21</v>
      </c>
      <c r="F71" t="s">
        <v>15</v>
      </c>
      <c r="G71" t="s">
        <v>162</v>
      </c>
      <c r="H71">
        <v>1</v>
      </c>
      <c r="I71">
        <v>1599</v>
      </c>
      <c r="J71">
        <v>1599</v>
      </c>
      <c r="K71" t="s">
        <v>17</v>
      </c>
      <c r="L71" t="s">
        <v>1409</v>
      </c>
      <c r="M71" t="s">
        <v>1414</v>
      </c>
    </row>
    <row r="72" spans="1:13">
      <c r="A72" t="s">
        <v>246</v>
      </c>
      <c r="B72" s="6">
        <v>46202</v>
      </c>
      <c r="C72" t="s">
        <v>50</v>
      </c>
      <c r="D72" t="s">
        <v>51</v>
      </c>
      <c r="E72" t="s">
        <v>21</v>
      </c>
      <c r="F72" t="s">
        <v>47</v>
      </c>
      <c r="G72" t="s">
        <v>128</v>
      </c>
      <c r="H72">
        <v>2</v>
      </c>
      <c r="I72">
        <v>1199</v>
      </c>
      <c r="J72">
        <v>2398</v>
      </c>
      <c r="K72" t="s">
        <v>17</v>
      </c>
      <c r="L72" t="s">
        <v>1409</v>
      </c>
      <c r="M72" t="s">
        <v>1414</v>
      </c>
    </row>
    <row r="73" spans="1:13">
      <c r="A73" t="s">
        <v>248</v>
      </c>
      <c r="B73" s="6">
        <v>46047</v>
      </c>
      <c r="C73" t="s">
        <v>249</v>
      </c>
      <c r="D73" t="s">
        <v>250</v>
      </c>
      <c r="E73" t="s">
        <v>217</v>
      </c>
      <c r="F73" t="s">
        <v>36</v>
      </c>
      <c r="G73" t="s">
        <v>37</v>
      </c>
      <c r="H73">
        <v>1</v>
      </c>
      <c r="I73">
        <v>2299</v>
      </c>
      <c r="J73">
        <v>2299</v>
      </c>
      <c r="K73" t="s">
        <v>17</v>
      </c>
      <c r="L73" t="s">
        <v>1409</v>
      </c>
      <c r="M73" t="s">
        <v>1413</v>
      </c>
    </row>
    <row r="74" spans="1:13">
      <c r="A74" t="s">
        <v>251</v>
      </c>
      <c r="B74" s="6">
        <v>46136</v>
      </c>
      <c r="C74" t="s">
        <v>252</v>
      </c>
      <c r="D74" t="s">
        <v>253</v>
      </c>
      <c r="E74" t="s">
        <v>104</v>
      </c>
      <c r="F74" t="s">
        <v>36</v>
      </c>
      <c r="G74" t="s">
        <v>141</v>
      </c>
      <c r="H74">
        <v>1</v>
      </c>
      <c r="I74">
        <v>999</v>
      </c>
      <c r="J74">
        <v>999</v>
      </c>
      <c r="K74" t="s">
        <v>17</v>
      </c>
      <c r="L74" t="s">
        <v>1409</v>
      </c>
      <c r="M74" t="s">
        <v>1411</v>
      </c>
    </row>
    <row r="75" spans="1:13">
      <c r="A75" t="s">
        <v>254</v>
      </c>
      <c r="B75" s="6">
        <v>46202</v>
      </c>
      <c r="C75" t="s">
        <v>255</v>
      </c>
      <c r="D75" t="s">
        <v>256</v>
      </c>
      <c r="E75" t="s">
        <v>64</v>
      </c>
      <c r="F75" t="s">
        <v>47</v>
      </c>
      <c r="G75" t="s">
        <v>100</v>
      </c>
      <c r="H75">
        <v>2</v>
      </c>
      <c r="I75">
        <v>2799</v>
      </c>
      <c r="J75">
        <v>5598</v>
      </c>
      <c r="K75" t="s">
        <v>17</v>
      </c>
      <c r="L75" t="s">
        <v>1409</v>
      </c>
      <c r="M75" t="s">
        <v>1414</v>
      </c>
    </row>
    <row r="76" spans="1:13">
      <c r="A76" t="s">
        <v>257</v>
      </c>
      <c r="B76" s="6">
        <v>46028</v>
      </c>
      <c r="C76" t="s">
        <v>258</v>
      </c>
      <c r="D76" t="s">
        <v>259</v>
      </c>
      <c r="E76" t="s">
        <v>14</v>
      </c>
      <c r="F76" t="s">
        <v>22</v>
      </c>
      <c r="G76" t="s">
        <v>43</v>
      </c>
      <c r="H76">
        <v>1</v>
      </c>
      <c r="I76">
        <v>1499</v>
      </c>
      <c r="J76">
        <v>1499</v>
      </c>
      <c r="K76" t="s">
        <v>17</v>
      </c>
      <c r="L76" t="s">
        <v>1409</v>
      </c>
      <c r="M76" t="s">
        <v>1413</v>
      </c>
    </row>
    <row r="77" spans="1:13">
      <c r="A77" t="s">
        <v>260</v>
      </c>
      <c r="B77" s="6">
        <v>46110</v>
      </c>
      <c r="C77" t="s">
        <v>261</v>
      </c>
      <c r="D77" t="s">
        <v>262</v>
      </c>
      <c r="E77" t="s">
        <v>64</v>
      </c>
      <c r="F77" t="s">
        <v>25</v>
      </c>
      <c r="G77" t="s">
        <v>31</v>
      </c>
      <c r="H77">
        <v>1</v>
      </c>
      <c r="I77">
        <v>1799</v>
      </c>
      <c r="J77">
        <v>1799</v>
      </c>
      <c r="K77" t="s">
        <v>17</v>
      </c>
      <c r="L77" t="s">
        <v>1409</v>
      </c>
      <c r="M77" t="s">
        <v>1412</v>
      </c>
    </row>
    <row r="78" spans="1:13">
      <c r="A78" t="s">
        <v>263</v>
      </c>
      <c r="B78" s="6">
        <v>46059</v>
      </c>
      <c r="C78" t="s">
        <v>264</v>
      </c>
      <c r="D78" t="s">
        <v>382</v>
      </c>
      <c r="E78" t="s">
        <v>217</v>
      </c>
      <c r="F78" t="s">
        <v>47</v>
      </c>
      <c r="G78" t="s">
        <v>56</v>
      </c>
      <c r="H78">
        <v>1</v>
      </c>
      <c r="I78">
        <v>3499</v>
      </c>
      <c r="J78">
        <v>3499</v>
      </c>
      <c r="K78" t="s">
        <v>17</v>
      </c>
      <c r="L78" t="s">
        <v>1409</v>
      </c>
      <c r="M78" t="s">
        <v>1410</v>
      </c>
    </row>
    <row r="79" spans="1:13">
      <c r="A79" t="s">
        <v>267</v>
      </c>
      <c r="B79" s="6">
        <v>46120</v>
      </c>
      <c r="C79" t="s">
        <v>268</v>
      </c>
      <c r="D79" t="s">
        <v>269</v>
      </c>
      <c r="E79" t="s">
        <v>21</v>
      </c>
      <c r="F79" t="s">
        <v>15</v>
      </c>
      <c r="G79" t="s">
        <v>16</v>
      </c>
      <c r="H79">
        <v>2</v>
      </c>
      <c r="I79">
        <v>1999</v>
      </c>
      <c r="J79">
        <v>3998</v>
      </c>
      <c r="K79" t="s">
        <v>17</v>
      </c>
      <c r="L79" t="s">
        <v>1409</v>
      </c>
      <c r="M79" t="s">
        <v>1411</v>
      </c>
    </row>
    <row r="80" spans="1:13">
      <c r="A80" t="s">
        <v>270</v>
      </c>
      <c r="B80" s="6">
        <v>46180</v>
      </c>
      <c r="C80" t="s">
        <v>271</v>
      </c>
      <c r="D80" t="s">
        <v>272</v>
      </c>
      <c r="E80" t="s">
        <v>64</v>
      </c>
      <c r="F80" t="s">
        <v>22</v>
      </c>
      <c r="G80" t="s">
        <v>196</v>
      </c>
      <c r="H80">
        <v>1</v>
      </c>
      <c r="I80">
        <v>2499</v>
      </c>
      <c r="J80">
        <v>2499</v>
      </c>
      <c r="K80" t="s">
        <v>17</v>
      </c>
      <c r="L80" t="s">
        <v>1409</v>
      </c>
      <c r="M80" t="s">
        <v>1414</v>
      </c>
    </row>
    <row r="81" spans="1:13">
      <c r="A81" t="s">
        <v>273</v>
      </c>
      <c r="B81" s="6">
        <v>46103</v>
      </c>
      <c r="C81" t="s">
        <v>1417</v>
      </c>
      <c r="D81" t="s">
        <v>88</v>
      </c>
      <c r="E81" t="s">
        <v>30</v>
      </c>
      <c r="F81" t="s">
        <v>36</v>
      </c>
      <c r="G81" t="s">
        <v>151</v>
      </c>
      <c r="H81">
        <v>1</v>
      </c>
      <c r="I81">
        <v>799</v>
      </c>
      <c r="J81">
        <v>799</v>
      </c>
      <c r="K81" t="s">
        <v>17</v>
      </c>
      <c r="L81" t="s">
        <v>1409</v>
      </c>
      <c r="M81" t="s">
        <v>1412</v>
      </c>
    </row>
    <row r="82" spans="1:13">
      <c r="A82" t="s">
        <v>274</v>
      </c>
      <c r="B82" s="6">
        <v>46119</v>
      </c>
      <c r="C82" t="s">
        <v>275</v>
      </c>
      <c r="D82" t="s">
        <v>123</v>
      </c>
      <c r="E82" t="s">
        <v>89</v>
      </c>
      <c r="F82" t="s">
        <v>15</v>
      </c>
      <c r="G82" t="s">
        <v>16</v>
      </c>
      <c r="H82">
        <v>2</v>
      </c>
      <c r="I82">
        <v>1999</v>
      </c>
      <c r="J82">
        <v>3998</v>
      </c>
      <c r="K82" t="s">
        <v>17</v>
      </c>
      <c r="L82" t="s">
        <v>1409</v>
      </c>
      <c r="M82" t="s">
        <v>1411</v>
      </c>
    </row>
    <row r="83" spans="1:13">
      <c r="A83" t="s">
        <v>276</v>
      </c>
      <c r="B83" s="6">
        <v>46169</v>
      </c>
      <c r="C83" t="s">
        <v>176</v>
      </c>
      <c r="D83" t="s">
        <v>177</v>
      </c>
      <c r="E83" t="s">
        <v>104</v>
      </c>
      <c r="F83" t="s">
        <v>15</v>
      </c>
      <c r="G83" t="s">
        <v>52</v>
      </c>
      <c r="H83">
        <v>1</v>
      </c>
      <c r="I83">
        <v>899</v>
      </c>
      <c r="J83">
        <v>899</v>
      </c>
      <c r="K83" t="s">
        <v>17</v>
      </c>
      <c r="L83" t="s">
        <v>1409</v>
      </c>
      <c r="M83" t="s">
        <v>1415</v>
      </c>
    </row>
    <row r="84" spans="1:13">
      <c r="A84" t="s">
        <v>278</v>
      </c>
      <c r="B84" s="6">
        <v>46085</v>
      </c>
      <c r="C84" t="s">
        <v>28</v>
      </c>
      <c r="D84" t="s">
        <v>29</v>
      </c>
      <c r="E84" t="s">
        <v>30</v>
      </c>
      <c r="F84" t="s">
        <v>47</v>
      </c>
      <c r="G84" t="s">
        <v>100</v>
      </c>
      <c r="H84">
        <v>1</v>
      </c>
      <c r="I84">
        <v>2799</v>
      </c>
      <c r="J84">
        <v>2799</v>
      </c>
      <c r="K84" t="s">
        <v>17</v>
      </c>
      <c r="L84" t="s">
        <v>1409</v>
      </c>
      <c r="M84" t="s">
        <v>1412</v>
      </c>
    </row>
    <row r="85" spans="1:13">
      <c r="A85" t="s">
        <v>279</v>
      </c>
      <c r="B85" s="6">
        <v>46099</v>
      </c>
      <c r="C85" t="s">
        <v>280</v>
      </c>
      <c r="D85" t="s">
        <v>281</v>
      </c>
      <c r="E85" t="s">
        <v>217</v>
      </c>
      <c r="F85" t="s">
        <v>25</v>
      </c>
      <c r="G85" t="s">
        <v>31</v>
      </c>
      <c r="H85">
        <v>2</v>
      </c>
      <c r="I85">
        <v>1799</v>
      </c>
      <c r="J85">
        <v>3598</v>
      </c>
      <c r="K85" t="s">
        <v>17</v>
      </c>
      <c r="L85" t="s">
        <v>1409</v>
      </c>
      <c r="M85" t="s">
        <v>1412</v>
      </c>
    </row>
    <row r="86" spans="1:13">
      <c r="A86" t="s">
        <v>282</v>
      </c>
      <c r="B86" s="6">
        <v>46041</v>
      </c>
      <c r="C86" t="s">
        <v>283</v>
      </c>
      <c r="D86" t="s">
        <v>227</v>
      </c>
      <c r="E86" t="s">
        <v>104</v>
      </c>
      <c r="F86" t="s">
        <v>36</v>
      </c>
      <c r="G86" t="s">
        <v>141</v>
      </c>
      <c r="H86">
        <v>1</v>
      </c>
      <c r="I86">
        <v>999</v>
      </c>
      <c r="J86">
        <v>999</v>
      </c>
      <c r="K86" t="s">
        <v>17</v>
      </c>
      <c r="L86" t="s">
        <v>1409</v>
      </c>
      <c r="M86" t="s">
        <v>1413</v>
      </c>
    </row>
    <row r="87" spans="1:13">
      <c r="A87" t="s">
        <v>284</v>
      </c>
      <c r="B87" s="6">
        <v>46041</v>
      </c>
      <c r="C87" t="s">
        <v>285</v>
      </c>
      <c r="D87" t="s">
        <v>566</v>
      </c>
      <c r="E87" t="s">
        <v>73</v>
      </c>
      <c r="F87" t="s">
        <v>25</v>
      </c>
      <c r="G87" t="s">
        <v>69</v>
      </c>
      <c r="H87">
        <v>1</v>
      </c>
      <c r="I87">
        <v>2199</v>
      </c>
      <c r="J87">
        <v>2199</v>
      </c>
      <c r="K87" t="s">
        <v>17</v>
      </c>
      <c r="L87" t="s">
        <v>1409</v>
      </c>
      <c r="M87" t="s">
        <v>1413</v>
      </c>
    </row>
    <row r="88" spans="1:13">
      <c r="A88" t="s">
        <v>287</v>
      </c>
      <c r="B88" s="6">
        <v>46173</v>
      </c>
      <c r="C88" t="s">
        <v>288</v>
      </c>
      <c r="D88" t="s">
        <v>289</v>
      </c>
      <c r="E88" t="s">
        <v>14</v>
      </c>
      <c r="F88" t="s">
        <v>15</v>
      </c>
      <c r="G88" t="s">
        <v>16</v>
      </c>
      <c r="H88">
        <v>1</v>
      </c>
      <c r="I88">
        <v>1999</v>
      </c>
      <c r="J88">
        <v>1999</v>
      </c>
      <c r="K88" t="s">
        <v>17</v>
      </c>
      <c r="L88" t="s">
        <v>1409</v>
      </c>
      <c r="M88" t="s">
        <v>1415</v>
      </c>
    </row>
    <row r="89" spans="1:13">
      <c r="A89" t="s">
        <v>290</v>
      </c>
      <c r="B89" s="6">
        <v>46094</v>
      </c>
      <c r="C89" t="s">
        <v>291</v>
      </c>
      <c r="D89" t="s">
        <v>340</v>
      </c>
      <c r="E89" t="s">
        <v>14</v>
      </c>
      <c r="F89" t="s">
        <v>36</v>
      </c>
      <c r="G89" t="s">
        <v>37</v>
      </c>
      <c r="H89">
        <v>1</v>
      </c>
      <c r="I89">
        <v>2299</v>
      </c>
      <c r="J89">
        <v>2299</v>
      </c>
      <c r="K89" t="s">
        <v>17</v>
      </c>
      <c r="L89" t="s">
        <v>1409</v>
      </c>
      <c r="M89" t="s">
        <v>1412</v>
      </c>
    </row>
    <row r="90" spans="1:13">
      <c r="A90" t="s">
        <v>293</v>
      </c>
      <c r="B90" s="6">
        <v>46141</v>
      </c>
      <c r="C90" t="s">
        <v>28</v>
      </c>
      <c r="D90" t="s">
        <v>29</v>
      </c>
      <c r="E90" t="s">
        <v>30</v>
      </c>
      <c r="F90" t="s">
        <v>36</v>
      </c>
      <c r="G90" t="s">
        <v>141</v>
      </c>
      <c r="H90">
        <v>1</v>
      </c>
      <c r="I90">
        <v>999</v>
      </c>
      <c r="J90">
        <v>999</v>
      </c>
      <c r="K90" t="s">
        <v>17</v>
      </c>
      <c r="L90" t="s">
        <v>1409</v>
      </c>
      <c r="M90" t="s">
        <v>1411</v>
      </c>
    </row>
    <row r="91" spans="1:13">
      <c r="A91" t="s">
        <v>294</v>
      </c>
      <c r="B91" s="6">
        <v>46109</v>
      </c>
      <c r="C91" t="s">
        <v>295</v>
      </c>
      <c r="D91" t="s">
        <v>296</v>
      </c>
      <c r="E91" t="s">
        <v>30</v>
      </c>
      <c r="F91" t="s">
        <v>25</v>
      </c>
      <c r="G91" t="s">
        <v>31</v>
      </c>
      <c r="H91">
        <v>1</v>
      </c>
      <c r="I91">
        <v>1799</v>
      </c>
      <c r="J91">
        <v>1799</v>
      </c>
      <c r="K91" t="s">
        <v>17</v>
      </c>
      <c r="L91" t="s">
        <v>1409</v>
      </c>
      <c r="M91" t="s">
        <v>1412</v>
      </c>
    </row>
    <row r="92" spans="1:13">
      <c r="A92" t="s">
        <v>297</v>
      </c>
      <c r="B92" s="6">
        <v>46108</v>
      </c>
      <c r="C92" t="s">
        <v>58</v>
      </c>
      <c r="D92" t="s">
        <v>59</v>
      </c>
      <c r="E92" t="s">
        <v>14</v>
      </c>
      <c r="F92" t="s">
        <v>25</v>
      </c>
      <c r="G92" t="s">
        <v>31</v>
      </c>
      <c r="H92">
        <v>2</v>
      </c>
      <c r="I92">
        <v>1799</v>
      </c>
      <c r="J92">
        <v>3598</v>
      </c>
      <c r="K92" t="s">
        <v>17</v>
      </c>
      <c r="L92" t="s">
        <v>1409</v>
      </c>
      <c r="M92" t="s">
        <v>1412</v>
      </c>
    </row>
    <row r="93" spans="1:13">
      <c r="A93" t="s">
        <v>298</v>
      </c>
      <c r="B93" s="6">
        <v>46196</v>
      </c>
      <c r="C93" t="s">
        <v>299</v>
      </c>
      <c r="D93" t="s">
        <v>300</v>
      </c>
      <c r="E93" t="s">
        <v>104</v>
      </c>
      <c r="F93" t="s">
        <v>22</v>
      </c>
      <c r="G93" t="s">
        <v>196</v>
      </c>
      <c r="H93">
        <v>1</v>
      </c>
      <c r="I93">
        <v>2499</v>
      </c>
      <c r="J93">
        <v>2499</v>
      </c>
      <c r="K93" t="s">
        <v>17</v>
      </c>
      <c r="L93" t="s">
        <v>1409</v>
      </c>
      <c r="M93" t="s">
        <v>1414</v>
      </c>
    </row>
    <row r="94" spans="1:13">
      <c r="A94" t="s">
        <v>301</v>
      </c>
      <c r="B94" s="6">
        <v>46179</v>
      </c>
      <c r="C94" t="s">
        <v>176</v>
      </c>
      <c r="D94" t="s">
        <v>177</v>
      </c>
      <c r="E94" t="s">
        <v>104</v>
      </c>
      <c r="F94" t="s">
        <v>25</v>
      </c>
      <c r="G94" t="s">
        <v>26</v>
      </c>
      <c r="H94">
        <v>2</v>
      </c>
      <c r="I94">
        <v>1299</v>
      </c>
      <c r="J94">
        <v>2598</v>
      </c>
      <c r="K94" t="s">
        <v>17</v>
      </c>
      <c r="L94" t="s">
        <v>1409</v>
      </c>
      <c r="M94" t="s">
        <v>1414</v>
      </c>
    </row>
    <row r="95" spans="1:13">
      <c r="A95" t="s">
        <v>303</v>
      </c>
      <c r="B95" s="6">
        <v>46129</v>
      </c>
      <c r="C95" t="s">
        <v>304</v>
      </c>
      <c r="D95" t="s">
        <v>305</v>
      </c>
      <c r="E95" t="s">
        <v>21</v>
      </c>
      <c r="F95" t="s">
        <v>15</v>
      </c>
      <c r="G95" t="s">
        <v>16</v>
      </c>
      <c r="H95">
        <v>1</v>
      </c>
      <c r="I95">
        <v>1999</v>
      </c>
      <c r="J95">
        <v>1999</v>
      </c>
      <c r="K95" t="s">
        <v>17</v>
      </c>
      <c r="L95" t="s">
        <v>1409</v>
      </c>
      <c r="M95" t="s">
        <v>1411</v>
      </c>
    </row>
    <row r="96" spans="1:13">
      <c r="A96" t="s">
        <v>306</v>
      </c>
      <c r="B96" s="6">
        <v>46058</v>
      </c>
      <c r="C96" t="s">
        <v>308</v>
      </c>
      <c r="D96" t="s">
        <v>309</v>
      </c>
      <c r="E96" t="s">
        <v>104</v>
      </c>
      <c r="F96" t="s">
        <v>15</v>
      </c>
      <c r="G96" t="s">
        <v>52</v>
      </c>
      <c r="H96">
        <v>1</v>
      </c>
      <c r="I96">
        <v>899</v>
      </c>
      <c r="J96">
        <v>899</v>
      </c>
      <c r="K96" t="s">
        <v>78</v>
      </c>
      <c r="L96" t="s">
        <v>1409</v>
      </c>
      <c r="M96" t="s">
        <v>1410</v>
      </c>
    </row>
    <row r="97" spans="1:13">
      <c r="A97" t="s">
        <v>311</v>
      </c>
      <c r="B97" s="6">
        <v>46033</v>
      </c>
      <c r="C97" t="s">
        <v>312</v>
      </c>
      <c r="D97" t="s">
        <v>313</v>
      </c>
      <c r="E97" t="s">
        <v>21</v>
      </c>
      <c r="F97" t="s">
        <v>25</v>
      </c>
      <c r="G97" t="s">
        <v>26</v>
      </c>
      <c r="H97">
        <v>1</v>
      </c>
      <c r="I97">
        <v>1299</v>
      </c>
      <c r="J97">
        <v>1299</v>
      </c>
      <c r="K97" t="s">
        <v>17</v>
      </c>
      <c r="L97" t="s">
        <v>1409</v>
      </c>
      <c r="M97" t="s">
        <v>1413</v>
      </c>
    </row>
    <row r="98" spans="1:13">
      <c r="A98" t="s">
        <v>314</v>
      </c>
      <c r="B98" s="6">
        <v>46150</v>
      </c>
      <c r="C98" t="s">
        <v>315</v>
      </c>
      <c r="D98" t="s">
        <v>316</v>
      </c>
      <c r="E98" t="s">
        <v>217</v>
      </c>
      <c r="F98" t="s">
        <v>15</v>
      </c>
      <c r="G98" t="s">
        <v>162</v>
      </c>
      <c r="H98">
        <v>1</v>
      </c>
      <c r="I98">
        <v>1599</v>
      </c>
      <c r="J98">
        <v>1599</v>
      </c>
      <c r="K98" t="s">
        <v>17</v>
      </c>
      <c r="L98" t="s">
        <v>1409</v>
      </c>
      <c r="M98" t="s">
        <v>1415</v>
      </c>
    </row>
    <row r="99" spans="1:13">
      <c r="A99" t="s">
        <v>317</v>
      </c>
      <c r="B99" s="6">
        <v>46101</v>
      </c>
      <c r="C99" t="s">
        <v>318</v>
      </c>
      <c r="D99" t="s">
        <v>319</v>
      </c>
      <c r="E99" t="s">
        <v>21</v>
      </c>
      <c r="F99" t="s">
        <v>25</v>
      </c>
      <c r="G99" t="s">
        <v>31</v>
      </c>
      <c r="H99">
        <v>1</v>
      </c>
      <c r="I99">
        <v>1799</v>
      </c>
      <c r="J99">
        <v>1799</v>
      </c>
      <c r="K99" t="s">
        <v>17</v>
      </c>
      <c r="L99" t="s">
        <v>1409</v>
      </c>
      <c r="M99" t="s">
        <v>1412</v>
      </c>
    </row>
    <row r="100" spans="1:13">
      <c r="A100" t="s">
        <v>320</v>
      </c>
      <c r="B100" s="6">
        <v>46042</v>
      </c>
      <c r="C100" t="s">
        <v>155</v>
      </c>
      <c r="D100" t="s">
        <v>156</v>
      </c>
      <c r="E100" t="s">
        <v>89</v>
      </c>
      <c r="F100" t="s">
        <v>15</v>
      </c>
      <c r="G100" t="s">
        <v>162</v>
      </c>
      <c r="H100">
        <v>3</v>
      </c>
      <c r="I100">
        <v>1599</v>
      </c>
      <c r="J100">
        <v>4797</v>
      </c>
      <c r="K100" t="s">
        <v>17</v>
      </c>
      <c r="L100" t="s">
        <v>1409</v>
      </c>
      <c r="M100" t="s">
        <v>1413</v>
      </c>
    </row>
    <row r="101" spans="1:13">
      <c r="A101" t="s">
        <v>322</v>
      </c>
      <c r="B101" s="6">
        <v>46058</v>
      </c>
      <c r="C101" t="s">
        <v>98</v>
      </c>
      <c r="D101" t="s">
        <v>99</v>
      </c>
      <c r="E101" t="s">
        <v>64</v>
      </c>
      <c r="F101" t="s">
        <v>47</v>
      </c>
      <c r="G101" t="s">
        <v>48</v>
      </c>
      <c r="H101">
        <v>2</v>
      </c>
      <c r="I101">
        <v>499</v>
      </c>
      <c r="J101">
        <v>998</v>
      </c>
      <c r="K101" t="s">
        <v>17</v>
      </c>
      <c r="L101" t="s">
        <v>1409</v>
      </c>
      <c r="M101" t="s">
        <v>1410</v>
      </c>
    </row>
    <row r="102" spans="1:13">
      <c r="A102" t="s">
        <v>323</v>
      </c>
      <c r="B102" s="6">
        <v>46193</v>
      </c>
      <c r="C102" t="s">
        <v>324</v>
      </c>
      <c r="D102" t="s">
        <v>325</v>
      </c>
      <c r="E102" t="s">
        <v>30</v>
      </c>
      <c r="F102" t="s">
        <v>47</v>
      </c>
      <c r="G102" t="s">
        <v>56</v>
      </c>
      <c r="H102">
        <v>1</v>
      </c>
      <c r="I102">
        <v>3499</v>
      </c>
      <c r="J102">
        <v>3499</v>
      </c>
      <c r="K102" t="s">
        <v>17</v>
      </c>
      <c r="L102" t="s">
        <v>1409</v>
      </c>
      <c r="M102" t="s">
        <v>1414</v>
      </c>
    </row>
    <row r="103" spans="1:13">
      <c r="A103" t="s">
        <v>326</v>
      </c>
      <c r="B103" s="6">
        <v>46203</v>
      </c>
      <c r="C103" t="s">
        <v>122</v>
      </c>
      <c r="D103" t="s">
        <v>123</v>
      </c>
      <c r="E103" t="s">
        <v>1417</v>
      </c>
      <c r="F103" t="s">
        <v>22</v>
      </c>
      <c r="G103" t="s">
        <v>196</v>
      </c>
      <c r="H103">
        <v>2</v>
      </c>
      <c r="I103">
        <v>2499</v>
      </c>
      <c r="J103">
        <v>4998</v>
      </c>
      <c r="K103" t="s">
        <v>17</v>
      </c>
      <c r="L103" t="s">
        <v>1409</v>
      </c>
      <c r="M103" t="s">
        <v>1414</v>
      </c>
    </row>
    <row r="104" spans="1:13">
      <c r="A104" t="s">
        <v>327</v>
      </c>
      <c r="B104" s="6">
        <v>46173</v>
      </c>
      <c r="C104" t="s">
        <v>275</v>
      </c>
      <c r="D104" t="s">
        <v>123</v>
      </c>
      <c r="E104" t="s">
        <v>89</v>
      </c>
      <c r="F104" t="s">
        <v>15</v>
      </c>
      <c r="G104" t="s">
        <v>16</v>
      </c>
      <c r="H104">
        <v>2</v>
      </c>
      <c r="I104">
        <v>1999</v>
      </c>
      <c r="J104">
        <v>3998</v>
      </c>
      <c r="K104" t="s">
        <v>17</v>
      </c>
      <c r="L104" t="s">
        <v>1409</v>
      </c>
      <c r="M104" t="s">
        <v>1415</v>
      </c>
    </row>
    <row r="105" spans="1:13">
      <c r="A105" t="s">
        <v>329</v>
      </c>
      <c r="B105" s="6">
        <v>46200</v>
      </c>
      <c r="C105" t="s">
        <v>330</v>
      </c>
      <c r="D105" t="s">
        <v>331</v>
      </c>
      <c r="E105" t="s">
        <v>217</v>
      </c>
      <c r="F105" t="s">
        <v>47</v>
      </c>
      <c r="G105" t="s">
        <v>128</v>
      </c>
      <c r="H105">
        <v>1</v>
      </c>
      <c r="I105">
        <v>1199</v>
      </c>
      <c r="J105">
        <v>1199</v>
      </c>
      <c r="K105" t="s">
        <v>17</v>
      </c>
      <c r="L105" t="s">
        <v>1409</v>
      </c>
      <c r="M105" t="s">
        <v>1414</v>
      </c>
    </row>
    <row r="106" spans="1:13">
      <c r="A106" t="s">
        <v>333</v>
      </c>
      <c r="B106" s="6">
        <v>46173</v>
      </c>
      <c r="C106" t="s">
        <v>324</v>
      </c>
      <c r="D106" t="s">
        <v>325</v>
      </c>
      <c r="E106" t="s">
        <v>30</v>
      </c>
      <c r="F106" t="s">
        <v>47</v>
      </c>
      <c r="G106" t="s">
        <v>100</v>
      </c>
      <c r="H106">
        <v>1</v>
      </c>
      <c r="I106">
        <v>2799</v>
      </c>
      <c r="J106">
        <v>2799</v>
      </c>
      <c r="K106" t="s">
        <v>17</v>
      </c>
      <c r="L106" t="s">
        <v>1409</v>
      </c>
      <c r="M106" t="s">
        <v>1415</v>
      </c>
    </row>
    <row r="107" spans="1:13">
      <c r="A107" t="s">
        <v>335</v>
      </c>
      <c r="B107" s="6">
        <v>46178</v>
      </c>
      <c r="C107" t="s">
        <v>330</v>
      </c>
      <c r="D107" t="s">
        <v>331</v>
      </c>
      <c r="E107" t="s">
        <v>217</v>
      </c>
      <c r="F107" t="s">
        <v>15</v>
      </c>
      <c r="G107" t="s">
        <v>52</v>
      </c>
      <c r="H107">
        <v>1</v>
      </c>
      <c r="I107">
        <v>899</v>
      </c>
      <c r="J107">
        <v>899</v>
      </c>
      <c r="K107" t="s">
        <v>17</v>
      </c>
      <c r="L107" t="s">
        <v>1409</v>
      </c>
      <c r="M107" t="s">
        <v>1414</v>
      </c>
    </row>
    <row r="108" spans="1:13">
      <c r="A108" t="s">
        <v>337</v>
      </c>
      <c r="B108" s="6">
        <v>46024</v>
      </c>
      <c r="C108" t="s">
        <v>338</v>
      </c>
      <c r="D108" t="s">
        <v>134</v>
      </c>
      <c r="E108" t="s">
        <v>14</v>
      </c>
      <c r="F108" t="s">
        <v>15</v>
      </c>
      <c r="G108" t="s">
        <v>16</v>
      </c>
      <c r="H108">
        <v>3</v>
      </c>
      <c r="I108">
        <v>1999</v>
      </c>
      <c r="J108">
        <v>5997</v>
      </c>
      <c r="K108" t="s">
        <v>17</v>
      </c>
      <c r="L108" t="s">
        <v>1409</v>
      </c>
      <c r="M108" t="s">
        <v>1413</v>
      </c>
    </row>
    <row r="109" spans="1:13">
      <c r="A109" t="s">
        <v>339</v>
      </c>
      <c r="B109" s="6">
        <v>46053</v>
      </c>
      <c r="C109" t="s">
        <v>291</v>
      </c>
      <c r="D109" t="s">
        <v>340</v>
      </c>
      <c r="E109" t="s">
        <v>14</v>
      </c>
      <c r="F109" t="s">
        <v>22</v>
      </c>
      <c r="G109" t="s">
        <v>23</v>
      </c>
      <c r="H109">
        <v>2</v>
      </c>
      <c r="I109">
        <v>3299</v>
      </c>
      <c r="J109">
        <v>6598</v>
      </c>
      <c r="K109" t="s">
        <v>17</v>
      </c>
      <c r="L109" t="s">
        <v>1409</v>
      </c>
      <c r="M109" t="s">
        <v>1413</v>
      </c>
    </row>
    <row r="110" spans="1:13">
      <c r="A110" t="s">
        <v>341</v>
      </c>
      <c r="B110" s="6">
        <v>46188</v>
      </c>
      <c r="C110" t="s">
        <v>342</v>
      </c>
      <c r="D110" t="s">
        <v>177</v>
      </c>
      <c r="E110" t="s">
        <v>104</v>
      </c>
      <c r="F110" t="s">
        <v>25</v>
      </c>
      <c r="G110" t="s">
        <v>31</v>
      </c>
      <c r="H110">
        <v>1</v>
      </c>
      <c r="I110">
        <v>1799</v>
      </c>
      <c r="J110">
        <v>1799</v>
      </c>
      <c r="K110" t="s">
        <v>17</v>
      </c>
      <c r="L110" t="s">
        <v>1418</v>
      </c>
      <c r="M110" t="s">
        <v>1414</v>
      </c>
    </row>
    <row r="111" spans="1:13">
      <c r="A111" t="s">
        <v>343</v>
      </c>
      <c r="B111" s="6">
        <v>46093</v>
      </c>
      <c r="C111" t="s">
        <v>122</v>
      </c>
      <c r="D111" t="s">
        <v>123</v>
      </c>
      <c r="E111" t="s">
        <v>14</v>
      </c>
      <c r="F111" t="s">
        <v>22</v>
      </c>
      <c r="G111" t="s">
        <v>138</v>
      </c>
      <c r="H111">
        <v>1</v>
      </c>
      <c r="I111">
        <v>599</v>
      </c>
      <c r="J111">
        <v>599</v>
      </c>
      <c r="K111" t="s">
        <v>17</v>
      </c>
      <c r="L111" t="s">
        <v>1409</v>
      </c>
      <c r="M111" t="s">
        <v>1412</v>
      </c>
    </row>
    <row r="112" spans="1:13">
      <c r="A112" t="s">
        <v>344</v>
      </c>
      <c r="B112" s="6">
        <v>46032</v>
      </c>
      <c r="C112" t="s">
        <v>345</v>
      </c>
      <c r="D112" t="s">
        <v>346</v>
      </c>
      <c r="E112" t="s">
        <v>217</v>
      </c>
      <c r="F112" t="s">
        <v>15</v>
      </c>
      <c r="G112" t="s">
        <v>52</v>
      </c>
      <c r="H112">
        <v>3</v>
      </c>
      <c r="I112">
        <v>899</v>
      </c>
      <c r="J112">
        <v>2697</v>
      </c>
      <c r="K112" t="s">
        <v>17</v>
      </c>
      <c r="L112" t="s">
        <v>1409</v>
      </c>
      <c r="M112" t="s">
        <v>1413</v>
      </c>
    </row>
    <row r="113" spans="1:13">
      <c r="A113" t="s">
        <v>348</v>
      </c>
      <c r="B113" s="6">
        <v>46157</v>
      </c>
      <c r="C113" t="s">
        <v>1417</v>
      </c>
      <c r="D113" t="s">
        <v>173</v>
      </c>
      <c r="E113" t="s">
        <v>73</v>
      </c>
      <c r="F113" t="s">
        <v>25</v>
      </c>
      <c r="G113" t="s">
        <v>69</v>
      </c>
      <c r="H113">
        <v>1</v>
      </c>
      <c r="I113">
        <v>2199</v>
      </c>
      <c r="J113">
        <v>2199</v>
      </c>
      <c r="K113" t="s">
        <v>17</v>
      </c>
      <c r="L113" t="s">
        <v>1409</v>
      </c>
      <c r="M113" t="s">
        <v>1415</v>
      </c>
    </row>
    <row r="114" spans="1:13">
      <c r="A114" t="s">
        <v>350</v>
      </c>
      <c r="B114" s="6">
        <v>46106</v>
      </c>
      <c r="C114" t="s">
        <v>216</v>
      </c>
      <c r="D114" t="s">
        <v>202</v>
      </c>
      <c r="E114" t="s">
        <v>217</v>
      </c>
      <c r="F114" t="s">
        <v>47</v>
      </c>
      <c r="G114" t="s">
        <v>56</v>
      </c>
      <c r="H114">
        <v>1</v>
      </c>
      <c r="I114">
        <v>3499</v>
      </c>
      <c r="J114">
        <v>3499</v>
      </c>
      <c r="K114" t="s">
        <v>17</v>
      </c>
      <c r="L114" t="s">
        <v>1409</v>
      </c>
      <c r="M114" t="s">
        <v>1412</v>
      </c>
    </row>
    <row r="115" spans="1:13">
      <c r="A115" t="s">
        <v>352</v>
      </c>
      <c r="B115" s="6">
        <v>46084</v>
      </c>
      <c r="C115" t="s">
        <v>353</v>
      </c>
      <c r="D115" t="s">
        <v>354</v>
      </c>
      <c r="E115" t="s">
        <v>14</v>
      </c>
      <c r="F115" t="s">
        <v>15</v>
      </c>
      <c r="G115" t="s">
        <v>52</v>
      </c>
      <c r="H115">
        <v>1</v>
      </c>
      <c r="I115">
        <v>899</v>
      </c>
      <c r="J115">
        <v>899</v>
      </c>
      <c r="K115" t="s">
        <v>17</v>
      </c>
      <c r="L115" t="s">
        <v>1409</v>
      </c>
      <c r="M115" t="s">
        <v>1412</v>
      </c>
    </row>
    <row r="116" spans="1:13">
      <c r="A116" t="s">
        <v>355</v>
      </c>
      <c r="B116" s="6">
        <v>46046</v>
      </c>
      <c r="C116" t="s">
        <v>168</v>
      </c>
      <c r="D116" t="s">
        <v>281</v>
      </c>
      <c r="E116" t="s">
        <v>64</v>
      </c>
      <c r="F116" t="s">
        <v>15</v>
      </c>
      <c r="G116" t="s">
        <v>16</v>
      </c>
      <c r="H116">
        <v>1</v>
      </c>
      <c r="I116">
        <v>1999</v>
      </c>
      <c r="J116">
        <v>1999</v>
      </c>
      <c r="K116" t="s">
        <v>17</v>
      </c>
      <c r="L116" t="s">
        <v>1409</v>
      </c>
      <c r="M116" t="s">
        <v>1413</v>
      </c>
    </row>
    <row r="117" spans="1:13">
      <c r="A117" t="s">
        <v>356</v>
      </c>
      <c r="B117" s="6">
        <v>46055</v>
      </c>
      <c r="C117" t="s">
        <v>357</v>
      </c>
      <c r="D117" t="s">
        <v>358</v>
      </c>
      <c r="E117" t="s">
        <v>104</v>
      </c>
      <c r="F117" t="s">
        <v>22</v>
      </c>
      <c r="G117" t="s">
        <v>196</v>
      </c>
      <c r="H117">
        <v>1</v>
      </c>
      <c r="I117">
        <v>2499</v>
      </c>
      <c r="J117">
        <v>2499</v>
      </c>
      <c r="K117" t="s">
        <v>17</v>
      </c>
      <c r="L117" t="s">
        <v>1409</v>
      </c>
      <c r="M117" t="s">
        <v>1410</v>
      </c>
    </row>
    <row r="118" spans="1:13">
      <c r="A118" t="s">
        <v>359</v>
      </c>
      <c r="B118" s="6">
        <v>46043</v>
      </c>
      <c r="C118" t="s">
        <v>338</v>
      </c>
      <c r="D118" t="s">
        <v>134</v>
      </c>
      <c r="E118" t="s">
        <v>14</v>
      </c>
      <c r="F118" t="s">
        <v>15</v>
      </c>
      <c r="G118" t="s">
        <v>16</v>
      </c>
      <c r="H118">
        <v>1</v>
      </c>
      <c r="I118">
        <v>1999</v>
      </c>
      <c r="J118">
        <v>1999</v>
      </c>
      <c r="K118" t="s">
        <v>78</v>
      </c>
      <c r="L118" t="s">
        <v>1409</v>
      </c>
      <c r="M118" t="s">
        <v>1413</v>
      </c>
    </row>
    <row r="119" spans="1:13">
      <c r="A119" t="s">
        <v>360</v>
      </c>
      <c r="B119" s="6">
        <v>46180</v>
      </c>
      <c r="C119" t="s">
        <v>95</v>
      </c>
      <c r="D119" t="s">
        <v>84</v>
      </c>
      <c r="E119" t="s">
        <v>64</v>
      </c>
      <c r="F119" t="s">
        <v>25</v>
      </c>
      <c r="G119" t="s">
        <v>26</v>
      </c>
      <c r="H119">
        <v>1</v>
      </c>
      <c r="I119">
        <v>1299</v>
      </c>
      <c r="J119">
        <v>1299</v>
      </c>
      <c r="K119" t="s">
        <v>17</v>
      </c>
      <c r="L119" t="s">
        <v>1409</v>
      </c>
      <c r="M119" t="s">
        <v>1414</v>
      </c>
    </row>
    <row r="120" spans="1:13">
      <c r="A120" t="s">
        <v>361</v>
      </c>
      <c r="B120" s="6">
        <v>46200</v>
      </c>
      <c r="C120" t="s">
        <v>268</v>
      </c>
      <c r="D120" t="s">
        <v>269</v>
      </c>
      <c r="E120" t="s">
        <v>21</v>
      </c>
      <c r="F120" t="s">
        <v>22</v>
      </c>
      <c r="G120" t="s">
        <v>196</v>
      </c>
      <c r="H120">
        <v>1</v>
      </c>
      <c r="I120">
        <v>2499</v>
      </c>
      <c r="J120">
        <v>2499</v>
      </c>
      <c r="K120" t="s">
        <v>17</v>
      </c>
      <c r="L120" t="s">
        <v>1409</v>
      </c>
      <c r="M120" t="s">
        <v>1414</v>
      </c>
    </row>
    <row r="121" spans="1:13">
      <c r="A121" t="s">
        <v>362</v>
      </c>
      <c r="B121" s="6">
        <v>46196</v>
      </c>
      <c r="C121" t="s">
        <v>204</v>
      </c>
      <c r="D121" t="s">
        <v>205</v>
      </c>
      <c r="E121" t="s">
        <v>64</v>
      </c>
      <c r="F121" t="s">
        <v>36</v>
      </c>
      <c r="G121" t="s">
        <v>151</v>
      </c>
      <c r="H121">
        <v>1</v>
      </c>
      <c r="I121">
        <v>799</v>
      </c>
      <c r="J121">
        <v>799</v>
      </c>
      <c r="K121" t="s">
        <v>17</v>
      </c>
      <c r="L121" t="s">
        <v>1409</v>
      </c>
      <c r="M121" t="s">
        <v>1414</v>
      </c>
    </row>
    <row r="122" spans="1:13">
      <c r="A122" t="s">
        <v>363</v>
      </c>
      <c r="B122" s="6">
        <v>46074</v>
      </c>
      <c r="C122" t="s">
        <v>179</v>
      </c>
      <c r="D122" t="s">
        <v>180</v>
      </c>
      <c r="E122" t="s">
        <v>104</v>
      </c>
      <c r="F122" t="s">
        <v>22</v>
      </c>
      <c r="G122" t="s">
        <v>196</v>
      </c>
      <c r="H122">
        <v>1</v>
      </c>
      <c r="I122">
        <v>2499</v>
      </c>
      <c r="J122">
        <v>2499</v>
      </c>
      <c r="K122" t="s">
        <v>17</v>
      </c>
      <c r="L122" t="s">
        <v>1409</v>
      </c>
      <c r="M122" t="s">
        <v>1410</v>
      </c>
    </row>
    <row r="123" spans="1:13">
      <c r="A123" t="s">
        <v>364</v>
      </c>
      <c r="B123" s="6">
        <v>46026</v>
      </c>
      <c r="C123" t="s">
        <v>172</v>
      </c>
      <c r="D123" t="s">
        <v>173</v>
      </c>
      <c r="E123" t="s">
        <v>30</v>
      </c>
      <c r="F123" t="s">
        <v>25</v>
      </c>
      <c r="G123" t="s">
        <v>115</v>
      </c>
      <c r="H123">
        <v>1</v>
      </c>
      <c r="I123">
        <v>3999</v>
      </c>
      <c r="J123">
        <v>3999</v>
      </c>
      <c r="K123" t="s">
        <v>17</v>
      </c>
      <c r="L123" t="s">
        <v>1409</v>
      </c>
      <c r="M123" t="s">
        <v>1413</v>
      </c>
    </row>
    <row r="124" spans="1:13">
      <c r="A124" t="s">
        <v>365</v>
      </c>
      <c r="B124" s="6">
        <v>46060</v>
      </c>
      <c r="C124" t="s">
        <v>366</v>
      </c>
      <c r="D124" t="s">
        <v>367</v>
      </c>
      <c r="E124" t="s">
        <v>30</v>
      </c>
      <c r="F124" t="s">
        <v>47</v>
      </c>
      <c r="G124" t="s">
        <v>128</v>
      </c>
      <c r="H124">
        <v>1</v>
      </c>
      <c r="I124">
        <v>1199</v>
      </c>
      <c r="J124">
        <v>1199</v>
      </c>
      <c r="K124" t="s">
        <v>17</v>
      </c>
      <c r="L124" t="s">
        <v>1409</v>
      </c>
      <c r="M124" t="s">
        <v>1410</v>
      </c>
    </row>
    <row r="125" spans="1:13">
      <c r="A125" t="s">
        <v>368</v>
      </c>
      <c r="B125" s="6">
        <v>46196</v>
      </c>
      <c r="C125" t="s">
        <v>369</v>
      </c>
      <c r="D125" t="s">
        <v>370</v>
      </c>
      <c r="E125" t="s">
        <v>89</v>
      </c>
      <c r="F125" t="s">
        <v>15</v>
      </c>
      <c r="G125" t="s">
        <v>16</v>
      </c>
      <c r="H125">
        <v>2</v>
      </c>
      <c r="I125">
        <v>1999</v>
      </c>
      <c r="J125">
        <v>3998</v>
      </c>
      <c r="K125" t="s">
        <v>17</v>
      </c>
      <c r="L125" t="s">
        <v>1409</v>
      </c>
      <c r="M125" t="s">
        <v>1414</v>
      </c>
    </row>
    <row r="126" spans="1:13">
      <c r="A126" t="s">
        <v>371</v>
      </c>
      <c r="B126" s="6">
        <v>46174</v>
      </c>
      <c r="C126" t="s">
        <v>372</v>
      </c>
      <c r="D126" t="s">
        <v>331</v>
      </c>
      <c r="E126" t="s">
        <v>21</v>
      </c>
      <c r="F126" t="s">
        <v>22</v>
      </c>
      <c r="G126" t="s">
        <v>196</v>
      </c>
      <c r="H126">
        <v>1</v>
      </c>
      <c r="I126">
        <v>2499</v>
      </c>
      <c r="J126">
        <v>2499</v>
      </c>
      <c r="K126" t="s">
        <v>17</v>
      </c>
      <c r="L126" t="s">
        <v>1409</v>
      </c>
      <c r="M126" t="s">
        <v>1414</v>
      </c>
    </row>
    <row r="127" spans="1:13">
      <c r="A127" t="s">
        <v>374</v>
      </c>
      <c r="B127" s="6">
        <v>46034</v>
      </c>
      <c r="C127" t="s">
        <v>375</v>
      </c>
      <c r="D127" t="s">
        <v>376</v>
      </c>
      <c r="E127" t="s">
        <v>89</v>
      </c>
      <c r="F127" t="s">
        <v>25</v>
      </c>
      <c r="G127" t="s">
        <v>26</v>
      </c>
      <c r="H127">
        <v>1</v>
      </c>
      <c r="I127">
        <v>1299</v>
      </c>
      <c r="J127">
        <v>1299</v>
      </c>
      <c r="K127" t="s">
        <v>17</v>
      </c>
      <c r="L127" t="s">
        <v>1409</v>
      </c>
      <c r="M127" t="s">
        <v>1413</v>
      </c>
    </row>
    <row r="128" spans="1:13">
      <c r="A128" t="s">
        <v>377</v>
      </c>
      <c r="B128" s="6">
        <v>46200</v>
      </c>
      <c r="C128" t="s">
        <v>198</v>
      </c>
      <c r="D128" t="s">
        <v>88</v>
      </c>
      <c r="E128" t="s">
        <v>30</v>
      </c>
      <c r="F128" t="s">
        <v>36</v>
      </c>
      <c r="G128" t="s">
        <v>141</v>
      </c>
      <c r="H128">
        <v>3</v>
      </c>
      <c r="I128">
        <v>999</v>
      </c>
      <c r="J128">
        <v>2997</v>
      </c>
      <c r="K128" t="s">
        <v>17</v>
      </c>
      <c r="L128" t="s">
        <v>1409</v>
      </c>
      <c r="M128" t="s">
        <v>1414</v>
      </c>
    </row>
    <row r="129" spans="1:13">
      <c r="A129" t="s">
        <v>379</v>
      </c>
      <c r="B129" s="6">
        <v>46134</v>
      </c>
      <c r="C129" t="s">
        <v>380</v>
      </c>
      <c r="D129" t="s">
        <v>202</v>
      </c>
      <c r="E129" t="s">
        <v>14</v>
      </c>
      <c r="F129" t="s">
        <v>25</v>
      </c>
      <c r="G129" t="s">
        <v>31</v>
      </c>
      <c r="H129">
        <v>1</v>
      </c>
      <c r="I129">
        <v>1799</v>
      </c>
      <c r="J129">
        <v>1799</v>
      </c>
      <c r="K129" t="s">
        <v>17</v>
      </c>
      <c r="L129" t="s">
        <v>1409</v>
      </c>
      <c r="M129" t="s">
        <v>1411</v>
      </c>
    </row>
    <row r="130" spans="1:13">
      <c r="A130" t="s">
        <v>381</v>
      </c>
      <c r="B130" s="6">
        <v>46142</v>
      </c>
      <c r="C130" t="s">
        <v>264</v>
      </c>
      <c r="D130" t="s">
        <v>382</v>
      </c>
      <c r="E130" t="s">
        <v>217</v>
      </c>
      <c r="F130" t="s">
        <v>15</v>
      </c>
      <c r="G130" t="s">
        <v>162</v>
      </c>
      <c r="H130">
        <v>1</v>
      </c>
      <c r="I130">
        <v>1599</v>
      </c>
      <c r="J130">
        <v>1599</v>
      </c>
      <c r="K130" t="s">
        <v>17</v>
      </c>
      <c r="L130" t="s">
        <v>1409</v>
      </c>
      <c r="M130" t="s">
        <v>1411</v>
      </c>
    </row>
    <row r="131" spans="1:13">
      <c r="A131" t="s">
        <v>384</v>
      </c>
      <c r="B131" s="6">
        <v>46183</v>
      </c>
      <c r="C131" t="s">
        <v>226</v>
      </c>
      <c r="D131" t="s">
        <v>227</v>
      </c>
      <c r="E131" t="s">
        <v>30</v>
      </c>
      <c r="F131" t="s">
        <v>22</v>
      </c>
      <c r="G131" t="s">
        <v>43</v>
      </c>
      <c r="H131">
        <v>3</v>
      </c>
      <c r="I131">
        <v>1499</v>
      </c>
      <c r="J131">
        <v>4497</v>
      </c>
      <c r="K131" t="s">
        <v>17</v>
      </c>
      <c r="L131" t="s">
        <v>1409</v>
      </c>
      <c r="M131" t="s">
        <v>1414</v>
      </c>
    </row>
    <row r="132" spans="1:13">
      <c r="A132" t="s">
        <v>385</v>
      </c>
      <c r="B132" s="6">
        <v>46121</v>
      </c>
      <c r="C132" t="s">
        <v>386</v>
      </c>
      <c r="D132" t="s">
        <v>190</v>
      </c>
      <c r="E132" t="s">
        <v>217</v>
      </c>
      <c r="F132" t="s">
        <v>15</v>
      </c>
      <c r="G132" t="s">
        <v>162</v>
      </c>
      <c r="H132">
        <v>1</v>
      </c>
      <c r="I132">
        <v>1599</v>
      </c>
      <c r="J132">
        <v>1599</v>
      </c>
      <c r="K132" t="s">
        <v>17</v>
      </c>
      <c r="L132" t="s">
        <v>1409</v>
      </c>
      <c r="M132" t="s">
        <v>1411</v>
      </c>
    </row>
    <row r="133" spans="1:13">
      <c r="A133" t="s">
        <v>387</v>
      </c>
      <c r="B133" s="6">
        <v>46135</v>
      </c>
      <c r="C133" t="s">
        <v>338</v>
      </c>
      <c r="D133" t="s">
        <v>134</v>
      </c>
      <c r="E133" t="s">
        <v>14</v>
      </c>
      <c r="F133" t="s">
        <v>22</v>
      </c>
      <c r="G133" t="s">
        <v>138</v>
      </c>
      <c r="H133">
        <v>1</v>
      </c>
      <c r="I133">
        <v>599</v>
      </c>
      <c r="J133">
        <v>599</v>
      </c>
      <c r="K133" t="s">
        <v>78</v>
      </c>
      <c r="L133" t="s">
        <v>1409</v>
      </c>
      <c r="M133" t="s">
        <v>1411</v>
      </c>
    </row>
    <row r="134" spans="1:13">
      <c r="A134" t="s">
        <v>388</v>
      </c>
      <c r="B134" s="6">
        <v>46174</v>
      </c>
      <c r="C134" t="s">
        <v>389</v>
      </c>
      <c r="D134" t="s">
        <v>29</v>
      </c>
      <c r="E134" t="s">
        <v>64</v>
      </c>
      <c r="F134" t="s">
        <v>36</v>
      </c>
      <c r="G134" t="s">
        <v>151</v>
      </c>
      <c r="H134">
        <v>2</v>
      </c>
      <c r="I134">
        <v>799</v>
      </c>
      <c r="J134">
        <v>1598</v>
      </c>
      <c r="K134" t="s">
        <v>17</v>
      </c>
      <c r="L134" t="s">
        <v>1409</v>
      </c>
      <c r="M134" t="s">
        <v>1414</v>
      </c>
    </row>
    <row r="135" spans="1:13">
      <c r="A135" t="s">
        <v>390</v>
      </c>
      <c r="B135" s="6">
        <v>46062</v>
      </c>
      <c r="C135" t="s">
        <v>391</v>
      </c>
      <c r="D135" t="s">
        <v>392</v>
      </c>
      <c r="E135" t="s">
        <v>217</v>
      </c>
      <c r="F135" t="s">
        <v>47</v>
      </c>
      <c r="G135" t="s">
        <v>48</v>
      </c>
      <c r="H135">
        <v>1</v>
      </c>
      <c r="I135">
        <v>499</v>
      </c>
      <c r="J135">
        <v>499</v>
      </c>
      <c r="K135" t="s">
        <v>17</v>
      </c>
      <c r="L135" t="s">
        <v>1409</v>
      </c>
      <c r="M135" t="s">
        <v>1410</v>
      </c>
    </row>
    <row r="136" spans="1:13">
      <c r="A136" t="s">
        <v>393</v>
      </c>
      <c r="B136" s="6">
        <v>46044</v>
      </c>
      <c r="C136" t="s">
        <v>268</v>
      </c>
      <c r="D136" t="s">
        <v>269</v>
      </c>
      <c r="E136" t="s">
        <v>21</v>
      </c>
      <c r="F136" t="s">
        <v>15</v>
      </c>
      <c r="G136" t="s">
        <v>52</v>
      </c>
      <c r="H136">
        <v>1</v>
      </c>
      <c r="I136">
        <v>899</v>
      </c>
      <c r="J136">
        <v>899</v>
      </c>
      <c r="K136" t="s">
        <v>17</v>
      </c>
      <c r="L136" t="s">
        <v>1409</v>
      </c>
      <c r="M136" t="s">
        <v>1413</v>
      </c>
    </row>
    <row r="137" spans="1:13">
      <c r="A137" t="s">
        <v>394</v>
      </c>
      <c r="B137" s="6">
        <v>46159</v>
      </c>
      <c r="C137" t="s">
        <v>283</v>
      </c>
      <c r="D137" t="s">
        <v>227</v>
      </c>
      <c r="E137" t="s">
        <v>104</v>
      </c>
      <c r="F137" t="s">
        <v>47</v>
      </c>
      <c r="G137" t="s">
        <v>100</v>
      </c>
      <c r="H137">
        <v>1</v>
      </c>
      <c r="I137">
        <v>2799</v>
      </c>
      <c r="J137">
        <v>2799</v>
      </c>
      <c r="K137" t="s">
        <v>17</v>
      </c>
      <c r="L137" t="s">
        <v>1409</v>
      </c>
      <c r="M137" t="s">
        <v>1415</v>
      </c>
    </row>
    <row r="138" spans="1:13">
      <c r="A138" t="s">
        <v>396</v>
      </c>
      <c r="B138" s="6">
        <v>46192</v>
      </c>
      <c r="C138" t="s">
        <v>397</v>
      </c>
      <c r="D138" t="s">
        <v>398</v>
      </c>
      <c r="E138" t="s">
        <v>64</v>
      </c>
      <c r="F138" t="s">
        <v>25</v>
      </c>
      <c r="G138" t="s">
        <v>115</v>
      </c>
      <c r="H138">
        <v>1</v>
      </c>
      <c r="I138">
        <v>3999</v>
      </c>
      <c r="J138">
        <v>3999</v>
      </c>
      <c r="K138" t="s">
        <v>17</v>
      </c>
      <c r="L138" t="s">
        <v>1409</v>
      </c>
      <c r="M138" t="s">
        <v>1414</v>
      </c>
    </row>
    <row r="139" spans="1:13">
      <c r="A139" t="s">
        <v>399</v>
      </c>
      <c r="B139" s="6">
        <v>46161</v>
      </c>
      <c r="C139" t="s">
        <v>400</v>
      </c>
      <c r="D139" t="s">
        <v>401</v>
      </c>
      <c r="E139" t="s">
        <v>21</v>
      </c>
      <c r="F139" t="s">
        <v>15</v>
      </c>
      <c r="G139" t="s">
        <v>52</v>
      </c>
      <c r="H139">
        <v>2</v>
      </c>
      <c r="I139">
        <v>899</v>
      </c>
      <c r="J139">
        <v>1798</v>
      </c>
      <c r="K139" t="s">
        <v>17</v>
      </c>
      <c r="L139" t="s">
        <v>1409</v>
      </c>
      <c r="M139" t="s">
        <v>1415</v>
      </c>
    </row>
    <row r="140" spans="1:13">
      <c r="A140" t="s">
        <v>402</v>
      </c>
      <c r="B140" s="6">
        <v>46105</v>
      </c>
      <c r="C140" t="s">
        <v>258</v>
      </c>
      <c r="D140" t="s">
        <v>259</v>
      </c>
      <c r="E140" t="s">
        <v>14</v>
      </c>
      <c r="F140" t="s">
        <v>15</v>
      </c>
      <c r="G140" t="s">
        <v>162</v>
      </c>
      <c r="H140">
        <v>1</v>
      </c>
      <c r="I140">
        <v>1599</v>
      </c>
      <c r="J140">
        <v>1599</v>
      </c>
      <c r="K140" t="s">
        <v>17</v>
      </c>
      <c r="L140" t="s">
        <v>1409</v>
      </c>
      <c r="M140" t="s">
        <v>1412</v>
      </c>
    </row>
    <row r="141" spans="1:13">
      <c r="A141" t="s">
        <v>403</v>
      </c>
      <c r="B141" s="6">
        <v>46106</v>
      </c>
      <c r="C141" t="s">
        <v>50</v>
      </c>
      <c r="D141" t="s">
        <v>51</v>
      </c>
      <c r="E141" t="s">
        <v>21</v>
      </c>
      <c r="F141" t="s">
        <v>15</v>
      </c>
      <c r="G141" t="s">
        <v>16</v>
      </c>
      <c r="H141">
        <v>1</v>
      </c>
      <c r="I141">
        <v>1999</v>
      </c>
      <c r="J141">
        <v>1999</v>
      </c>
      <c r="K141" t="s">
        <v>17</v>
      </c>
      <c r="L141" t="s">
        <v>1409</v>
      </c>
      <c r="M141" t="s">
        <v>1412</v>
      </c>
    </row>
    <row r="142" spans="1:13">
      <c r="A142" t="s">
        <v>404</v>
      </c>
      <c r="B142" s="6">
        <v>46035</v>
      </c>
      <c r="C142" t="s">
        <v>405</v>
      </c>
      <c r="D142" t="s">
        <v>406</v>
      </c>
      <c r="E142" t="s">
        <v>89</v>
      </c>
      <c r="F142" t="s">
        <v>25</v>
      </c>
      <c r="G142" t="s">
        <v>69</v>
      </c>
      <c r="H142">
        <v>1</v>
      </c>
      <c r="I142">
        <v>2199</v>
      </c>
      <c r="J142">
        <v>2199</v>
      </c>
      <c r="K142" t="s">
        <v>17</v>
      </c>
      <c r="L142" t="s">
        <v>1409</v>
      </c>
      <c r="M142" t="s">
        <v>1413</v>
      </c>
    </row>
    <row r="143" spans="1:13">
      <c r="A143" t="s">
        <v>407</v>
      </c>
      <c r="B143" s="6">
        <v>46111</v>
      </c>
      <c r="C143" t="s">
        <v>408</v>
      </c>
      <c r="D143" t="s">
        <v>409</v>
      </c>
      <c r="E143" t="s">
        <v>104</v>
      </c>
      <c r="F143" t="s">
        <v>47</v>
      </c>
      <c r="G143" t="s">
        <v>48</v>
      </c>
      <c r="H143">
        <v>1</v>
      </c>
      <c r="I143">
        <v>499</v>
      </c>
      <c r="J143">
        <v>499</v>
      </c>
      <c r="K143" t="s">
        <v>17</v>
      </c>
      <c r="L143" t="s">
        <v>1409</v>
      </c>
      <c r="M143" t="s">
        <v>1412</v>
      </c>
    </row>
    <row r="144" spans="1:13">
      <c r="A144" t="s">
        <v>410</v>
      </c>
      <c r="B144" s="6">
        <v>46079</v>
      </c>
      <c r="C144" t="s">
        <v>411</v>
      </c>
      <c r="D144" t="s">
        <v>412</v>
      </c>
      <c r="E144" t="s">
        <v>21</v>
      </c>
      <c r="F144" t="s">
        <v>25</v>
      </c>
      <c r="G144" t="s">
        <v>69</v>
      </c>
      <c r="H144">
        <v>1</v>
      </c>
      <c r="I144">
        <v>2199</v>
      </c>
      <c r="J144">
        <v>2199</v>
      </c>
      <c r="K144" t="s">
        <v>17</v>
      </c>
      <c r="L144" t="s">
        <v>1409</v>
      </c>
      <c r="M144" t="s">
        <v>1410</v>
      </c>
    </row>
    <row r="145" spans="1:13">
      <c r="A145" t="s">
        <v>414</v>
      </c>
      <c r="B145" s="6">
        <v>46040</v>
      </c>
      <c r="C145" t="s">
        <v>389</v>
      </c>
      <c r="D145" t="s">
        <v>29</v>
      </c>
      <c r="E145" t="s">
        <v>64</v>
      </c>
      <c r="F145" t="s">
        <v>47</v>
      </c>
      <c r="G145" t="s">
        <v>128</v>
      </c>
      <c r="H145">
        <v>1</v>
      </c>
      <c r="I145">
        <v>1199</v>
      </c>
      <c r="J145">
        <v>1199</v>
      </c>
      <c r="K145" t="s">
        <v>17</v>
      </c>
      <c r="L145" t="s">
        <v>1409</v>
      </c>
      <c r="M145" t="s">
        <v>1413</v>
      </c>
    </row>
    <row r="146" spans="1:13">
      <c r="A146" t="s">
        <v>415</v>
      </c>
      <c r="B146" s="6">
        <v>46200</v>
      </c>
      <c r="C146" t="s">
        <v>95</v>
      </c>
      <c r="D146" t="s">
        <v>84</v>
      </c>
      <c r="E146" t="s">
        <v>64</v>
      </c>
      <c r="F146" t="s">
        <v>47</v>
      </c>
      <c r="G146" t="s">
        <v>56</v>
      </c>
      <c r="H146">
        <v>1</v>
      </c>
      <c r="I146">
        <v>3499</v>
      </c>
      <c r="J146">
        <v>3499</v>
      </c>
      <c r="K146" t="s">
        <v>17</v>
      </c>
      <c r="L146" t="s">
        <v>1409</v>
      </c>
      <c r="M146" t="s">
        <v>1414</v>
      </c>
    </row>
    <row r="147" spans="1:13">
      <c r="A147" t="s">
        <v>416</v>
      </c>
      <c r="B147" s="6">
        <v>46197</v>
      </c>
      <c r="C147" t="s">
        <v>117</v>
      </c>
      <c r="D147" t="s">
        <v>118</v>
      </c>
      <c r="E147" t="s">
        <v>104</v>
      </c>
      <c r="F147" t="s">
        <v>36</v>
      </c>
      <c r="G147" t="s">
        <v>37</v>
      </c>
      <c r="H147">
        <v>1</v>
      </c>
      <c r="I147">
        <v>2299</v>
      </c>
      <c r="J147">
        <v>2299</v>
      </c>
      <c r="K147" t="s">
        <v>17</v>
      </c>
      <c r="L147" t="s">
        <v>1409</v>
      </c>
      <c r="M147" t="s">
        <v>1414</v>
      </c>
    </row>
    <row r="148" spans="1:13">
      <c r="A148" t="s">
        <v>417</v>
      </c>
      <c r="B148" s="6">
        <v>46042</v>
      </c>
      <c r="C148" t="s">
        <v>45</v>
      </c>
      <c r="D148" t="s">
        <v>46</v>
      </c>
      <c r="E148" t="s">
        <v>14</v>
      </c>
      <c r="F148" t="s">
        <v>47</v>
      </c>
      <c r="G148" t="s">
        <v>56</v>
      </c>
      <c r="H148">
        <v>1</v>
      </c>
      <c r="I148">
        <v>3499</v>
      </c>
      <c r="J148">
        <v>3499</v>
      </c>
      <c r="K148" t="s">
        <v>17</v>
      </c>
      <c r="L148" t="s">
        <v>1409</v>
      </c>
      <c r="M148" t="s">
        <v>1413</v>
      </c>
    </row>
    <row r="149" spans="1:13">
      <c r="A149" t="s">
        <v>418</v>
      </c>
      <c r="B149" s="6">
        <v>46124</v>
      </c>
      <c r="C149" t="s">
        <v>419</v>
      </c>
      <c r="D149" t="s">
        <v>420</v>
      </c>
      <c r="E149" t="s">
        <v>64</v>
      </c>
      <c r="F149" t="s">
        <v>15</v>
      </c>
      <c r="G149" t="s">
        <v>162</v>
      </c>
      <c r="H149">
        <v>1</v>
      </c>
      <c r="I149">
        <v>1599</v>
      </c>
      <c r="J149">
        <v>1599</v>
      </c>
      <c r="K149" t="s">
        <v>78</v>
      </c>
      <c r="L149" t="s">
        <v>1409</v>
      </c>
      <c r="M149" t="s">
        <v>1411</v>
      </c>
    </row>
    <row r="150" spans="1:13">
      <c r="A150" t="s">
        <v>421</v>
      </c>
      <c r="B150" s="6">
        <v>46032</v>
      </c>
      <c r="C150" t="s">
        <v>422</v>
      </c>
      <c r="D150" t="s">
        <v>173</v>
      </c>
      <c r="E150" t="s">
        <v>217</v>
      </c>
      <c r="F150" t="s">
        <v>15</v>
      </c>
      <c r="G150" t="s">
        <v>52</v>
      </c>
      <c r="H150">
        <v>1</v>
      </c>
      <c r="I150">
        <v>899</v>
      </c>
      <c r="J150">
        <v>899</v>
      </c>
      <c r="K150" t="s">
        <v>17</v>
      </c>
      <c r="L150" t="s">
        <v>1409</v>
      </c>
      <c r="M150" t="s">
        <v>1413</v>
      </c>
    </row>
    <row r="151" spans="1:13">
      <c r="A151" t="s">
        <v>423</v>
      </c>
      <c r="B151" s="6">
        <v>46200</v>
      </c>
      <c r="C151" t="s">
        <v>283</v>
      </c>
      <c r="D151" t="s">
        <v>227</v>
      </c>
      <c r="E151" t="s">
        <v>104</v>
      </c>
      <c r="F151" t="s">
        <v>25</v>
      </c>
      <c r="G151" t="s">
        <v>115</v>
      </c>
      <c r="H151">
        <v>1</v>
      </c>
      <c r="I151">
        <v>3999</v>
      </c>
      <c r="J151">
        <v>3999</v>
      </c>
      <c r="K151" t="s">
        <v>17</v>
      </c>
      <c r="L151" t="s">
        <v>1409</v>
      </c>
      <c r="M151" t="s">
        <v>1414</v>
      </c>
    </row>
    <row r="152" spans="1:13">
      <c r="A152" t="s">
        <v>424</v>
      </c>
      <c r="B152" s="6">
        <v>46180</v>
      </c>
      <c r="C152" t="s">
        <v>425</v>
      </c>
      <c r="D152" t="s">
        <v>426</v>
      </c>
      <c r="E152" t="s">
        <v>14</v>
      </c>
      <c r="F152" t="s">
        <v>47</v>
      </c>
      <c r="G152" t="s">
        <v>100</v>
      </c>
      <c r="H152">
        <v>1</v>
      </c>
      <c r="I152">
        <v>2799</v>
      </c>
      <c r="J152">
        <v>2799</v>
      </c>
      <c r="K152" t="s">
        <v>17</v>
      </c>
      <c r="L152" t="s">
        <v>1409</v>
      </c>
      <c r="M152" t="s">
        <v>1414</v>
      </c>
    </row>
    <row r="153" spans="1:13">
      <c r="A153" t="s">
        <v>427</v>
      </c>
      <c r="B153" s="6">
        <v>46101</v>
      </c>
      <c r="C153" t="s">
        <v>375</v>
      </c>
      <c r="D153" t="s">
        <v>376</v>
      </c>
      <c r="E153" t="s">
        <v>89</v>
      </c>
      <c r="F153" t="s">
        <v>47</v>
      </c>
      <c r="G153" t="s">
        <v>56</v>
      </c>
      <c r="H153">
        <v>1</v>
      </c>
      <c r="I153">
        <v>3499</v>
      </c>
      <c r="J153">
        <v>3499</v>
      </c>
      <c r="K153" t="s">
        <v>17</v>
      </c>
      <c r="L153" t="s">
        <v>1409</v>
      </c>
      <c r="M153" t="s">
        <v>1412</v>
      </c>
    </row>
    <row r="154" spans="1:13">
      <c r="A154" t="s">
        <v>428</v>
      </c>
      <c r="B154" s="6">
        <v>46149</v>
      </c>
      <c r="C154" t="s">
        <v>179</v>
      </c>
      <c r="D154" t="s">
        <v>180</v>
      </c>
      <c r="E154" t="s">
        <v>104</v>
      </c>
      <c r="F154" t="s">
        <v>36</v>
      </c>
      <c r="G154" t="s">
        <v>141</v>
      </c>
      <c r="H154">
        <v>2</v>
      </c>
      <c r="I154">
        <v>999</v>
      </c>
      <c r="J154">
        <v>1998</v>
      </c>
      <c r="K154" t="s">
        <v>17</v>
      </c>
      <c r="L154" t="s">
        <v>1409</v>
      </c>
      <c r="M154" t="s">
        <v>1415</v>
      </c>
    </row>
    <row r="155" spans="1:13">
      <c r="A155" t="s">
        <v>429</v>
      </c>
      <c r="B155" s="6">
        <v>46071</v>
      </c>
      <c r="C155" t="s">
        <v>430</v>
      </c>
      <c r="D155" t="s">
        <v>431</v>
      </c>
      <c r="E155" t="s">
        <v>104</v>
      </c>
      <c r="F155" t="s">
        <v>47</v>
      </c>
      <c r="G155" t="s">
        <v>56</v>
      </c>
      <c r="H155">
        <v>1</v>
      </c>
      <c r="I155">
        <v>3499</v>
      </c>
      <c r="J155">
        <v>3499</v>
      </c>
      <c r="K155" t="s">
        <v>17</v>
      </c>
      <c r="L155" t="s">
        <v>1409</v>
      </c>
      <c r="M155" t="s">
        <v>1410</v>
      </c>
    </row>
    <row r="156" spans="1:13">
      <c r="A156" t="s">
        <v>432</v>
      </c>
      <c r="B156" s="6">
        <v>46172</v>
      </c>
      <c r="C156" t="s">
        <v>433</v>
      </c>
      <c r="D156" t="s">
        <v>256</v>
      </c>
      <c r="E156" t="s">
        <v>64</v>
      </c>
      <c r="F156" t="s">
        <v>36</v>
      </c>
      <c r="G156" t="s">
        <v>151</v>
      </c>
      <c r="H156">
        <v>1</v>
      </c>
      <c r="I156">
        <v>799</v>
      </c>
      <c r="J156">
        <v>799</v>
      </c>
      <c r="K156" t="s">
        <v>17</v>
      </c>
      <c r="L156" t="s">
        <v>1409</v>
      </c>
      <c r="M156" t="s">
        <v>1415</v>
      </c>
    </row>
    <row r="157" spans="1:13">
      <c r="A157" t="s">
        <v>434</v>
      </c>
      <c r="B157" s="6">
        <v>46096</v>
      </c>
      <c r="C157" t="s">
        <v>435</v>
      </c>
      <c r="D157" t="s">
        <v>436</v>
      </c>
      <c r="E157" t="s">
        <v>73</v>
      </c>
      <c r="F157" t="s">
        <v>25</v>
      </c>
      <c r="G157" t="s">
        <v>69</v>
      </c>
      <c r="H157">
        <v>1</v>
      </c>
      <c r="I157">
        <v>2199</v>
      </c>
      <c r="J157">
        <v>2199</v>
      </c>
      <c r="K157" t="s">
        <v>17</v>
      </c>
      <c r="L157" t="s">
        <v>1409</v>
      </c>
      <c r="M157" t="s">
        <v>1412</v>
      </c>
    </row>
    <row r="158" spans="1:13">
      <c r="A158" t="s">
        <v>437</v>
      </c>
      <c r="B158" s="6">
        <v>46178</v>
      </c>
      <c r="C158" t="s">
        <v>411</v>
      </c>
      <c r="D158" t="s">
        <v>412</v>
      </c>
      <c r="E158" t="s">
        <v>21</v>
      </c>
      <c r="F158" t="s">
        <v>25</v>
      </c>
      <c r="G158" t="s">
        <v>31</v>
      </c>
      <c r="H158">
        <v>1</v>
      </c>
      <c r="I158">
        <v>1799</v>
      </c>
      <c r="J158">
        <v>1799</v>
      </c>
      <c r="K158" t="s">
        <v>17</v>
      </c>
      <c r="L158" t="s">
        <v>1409</v>
      </c>
      <c r="M158" t="s">
        <v>1414</v>
      </c>
    </row>
    <row r="159" spans="1:13">
      <c r="A159" t="s">
        <v>438</v>
      </c>
      <c r="B159" s="6">
        <v>46030</v>
      </c>
      <c r="C159" t="s">
        <v>136</v>
      </c>
      <c r="D159" t="s">
        <v>137</v>
      </c>
      <c r="E159" t="s">
        <v>21</v>
      </c>
      <c r="F159" t="s">
        <v>15</v>
      </c>
      <c r="G159" t="s">
        <v>52</v>
      </c>
      <c r="H159">
        <v>1</v>
      </c>
      <c r="I159">
        <v>899</v>
      </c>
      <c r="J159">
        <v>899</v>
      </c>
      <c r="K159" t="s">
        <v>17</v>
      </c>
      <c r="L159" t="s">
        <v>1409</v>
      </c>
      <c r="M159" t="s">
        <v>1413</v>
      </c>
    </row>
    <row r="160" spans="1:13">
      <c r="A160" t="s">
        <v>439</v>
      </c>
      <c r="B160" s="6">
        <v>46144</v>
      </c>
      <c r="C160" t="s">
        <v>160</v>
      </c>
      <c r="D160" t="s">
        <v>161</v>
      </c>
      <c r="E160" t="s">
        <v>1417</v>
      </c>
      <c r="F160" t="s">
        <v>25</v>
      </c>
      <c r="G160" t="s">
        <v>69</v>
      </c>
      <c r="H160">
        <v>1</v>
      </c>
      <c r="I160">
        <v>2199</v>
      </c>
      <c r="J160">
        <v>2199</v>
      </c>
      <c r="K160" t="s">
        <v>17</v>
      </c>
      <c r="L160" t="s">
        <v>1409</v>
      </c>
      <c r="M160" t="s">
        <v>1415</v>
      </c>
    </row>
    <row r="161" spans="1:13">
      <c r="A161" t="s">
        <v>440</v>
      </c>
      <c r="B161" s="6">
        <v>46167</v>
      </c>
      <c r="C161" t="s">
        <v>95</v>
      </c>
      <c r="D161" t="s">
        <v>84</v>
      </c>
      <c r="E161" t="s">
        <v>64</v>
      </c>
      <c r="F161" t="s">
        <v>25</v>
      </c>
      <c r="G161" t="s">
        <v>69</v>
      </c>
      <c r="H161">
        <v>1</v>
      </c>
      <c r="I161">
        <v>2199</v>
      </c>
      <c r="J161">
        <v>2199</v>
      </c>
      <c r="K161" t="s">
        <v>17</v>
      </c>
      <c r="L161" t="s">
        <v>1409</v>
      </c>
      <c r="M161" t="s">
        <v>1415</v>
      </c>
    </row>
    <row r="162" spans="1:13">
      <c r="A162" t="s">
        <v>441</v>
      </c>
      <c r="B162" s="6">
        <v>46055</v>
      </c>
      <c r="C162" t="s">
        <v>12</v>
      </c>
      <c r="D162" t="s">
        <v>13</v>
      </c>
      <c r="E162" t="s">
        <v>14</v>
      </c>
      <c r="F162" t="s">
        <v>22</v>
      </c>
      <c r="G162" t="s">
        <v>196</v>
      </c>
      <c r="H162">
        <v>1</v>
      </c>
      <c r="I162">
        <v>2499</v>
      </c>
      <c r="J162">
        <v>2499</v>
      </c>
      <c r="K162" t="s">
        <v>17</v>
      </c>
      <c r="L162" t="s">
        <v>1409</v>
      </c>
      <c r="M162" t="s">
        <v>1410</v>
      </c>
    </row>
    <row r="163" spans="1:13">
      <c r="A163" t="s">
        <v>443</v>
      </c>
      <c r="B163" s="6">
        <v>46064</v>
      </c>
      <c r="C163" t="s">
        <v>444</v>
      </c>
      <c r="D163" t="s">
        <v>445</v>
      </c>
      <c r="E163" t="s">
        <v>104</v>
      </c>
      <c r="F163" t="s">
        <v>22</v>
      </c>
      <c r="G163" t="s">
        <v>196</v>
      </c>
      <c r="H163">
        <v>1</v>
      </c>
      <c r="I163">
        <v>2499</v>
      </c>
      <c r="J163">
        <v>2499</v>
      </c>
      <c r="K163" t="s">
        <v>17</v>
      </c>
      <c r="L163" t="s">
        <v>1409</v>
      </c>
      <c r="M163" t="s">
        <v>1410</v>
      </c>
    </row>
    <row r="164" spans="1:13">
      <c r="A164" t="s">
        <v>446</v>
      </c>
      <c r="B164" s="6">
        <v>46060</v>
      </c>
      <c r="C164" t="s">
        <v>285</v>
      </c>
      <c r="D164" t="s">
        <v>566</v>
      </c>
      <c r="E164" t="s">
        <v>73</v>
      </c>
      <c r="F164" t="s">
        <v>15</v>
      </c>
      <c r="G164" t="s">
        <v>52</v>
      </c>
      <c r="H164">
        <v>1</v>
      </c>
      <c r="I164">
        <v>899</v>
      </c>
      <c r="J164">
        <v>899</v>
      </c>
      <c r="K164" t="s">
        <v>17</v>
      </c>
      <c r="L164" t="s">
        <v>1409</v>
      </c>
      <c r="M164" t="s">
        <v>1410</v>
      </c>
    </row>
    <row r="165" spans="1:13">
      <c r="A165" t="s">
        <v>448</v>
      </c>
      <c r="B165" s="6">
        <v>46063</v>
      </c>
      <c r="C165" t="s">
        <v>75</v>
      </c>
      <c r="D165" t="s">
        <v>76</v>
      </c>
      <c r="E165" t="s">
        <v>64</v>
      </c>
      <c r="F165" t="s">
        <v>15</v>
      </c>
      <c r="G165" t="s">
        <v>52</v>
      </c>
      <c r="H165">
        <v>3</v>
      </c>
      <c r="I165">
        <v>899</v>
      </c>
      <c r="J165">
        <v>2697</v>
      </c>
      <c r="K165" t="s">
        <v>17</v>
      </c>
      <c r="L165" t="s">
        <v>1409</v>
      </c>
      <c r="M165" t="s">
        <v>1410</v>
      </c>
    </row>
    <row r="166" spans="1:13">
      <c r="A166" t="s">
        <v>449</v>
      </c>
      <c r="B166" s="6">
        <v>46144</v>
      </c>
      <c r="C166" t="s">
        <v>450</v>
      </c>
      <c r="D166" t="s">
        <v>451</v>
      </c>
      <c r="E166" t="s">
        <v>64</v>
      </c>
      <c r="F166" t="s">
        <v>36</v>
      </c>
      <c r="G166" t="s">
        <v>151</v>
      </c>
      <c r="H166">
        <v>2</v>
      </c>
      <c r="I166">
        <v>799</v>
      </c>
      <c r="J166">
        <v>1598</v>
      </c>
      <c r="K166" t="s">
        <v>17</v>
      </c>
      <c r="L166" t="s">
        <v>1409</v>
      </c>
      <c r="M166" t="s">
        <v>1415</v>
      </c>
    </row>
    <row r="167" spans="1:13">
      <c r="A167" t="s">
        <v>453</v>
      </c>
      <c r="B167" s="6">
        <v>46148</v>
      </c>
      <c r="C167" t="s">
        <v>454</v>
      </c>
      <c r="D167" t="s">
        <v>227</v>
      </c>
      <c r="E167" t="s">
        <v>64</v>
      </c>
      <c r="F167" t="s">
        <v>25</v>
      </c>
      <c r="G167" t="s">
        <v>69</v>
      </c>
      <c r="H167">
        <v>1</v>
      </c>
      <c r="I167">
        <v>2199</v>
      </c>
      <c r="J167">
        <v>2199</v>
      </c>
      <c r="K167" t="s">
        <v>17</v>
      </c>
      <c r="L167" t="s">
        <v>1409</v>
      </c>
      <c r="M167" t="s">
        <v>1415</v>
      </c>
    </row>
    <row r="168" spans="1:13">
      <c r="A168" t="s">
        <v>455</v>
      </c>
      <c r="B168" s="6">
        <v>46201</v>
      </c>
      <c r="C168" t="s">
        <v>456</v>
      </c>
      <c r="D168" t="s">
        <v>173</v>
      </c>
      <c r="E168" t="s">
        <v>73</v>
      </c>
      <c r="F168" t="s">
        <v>15</v>
      </c>
      <c r="G168" t="s">
        <v>52</v>
      </c>
      <c r="H168">
        <v>1</v>
      </c>
      <c r="I168">
        <v>899</v>
      </c>
      <c r="J168">
        <v>899</v>
      </c>
      <c r="K168" t="s">
        <v>17</v>
      </c>
      <c r="L168" t="s">
        <v>1409</v>
      </c>
      <c r="M168" t="s">
        <v>1414</v>
      </c>
    </row>
    <row r="169" spans="1:13">
      <c r="A169" t="s">
        <v>458</v>
      </c>
      <c r="B169" s="6">
        <v>46152</v>
      </c>
      <c r="C169" t="s">
        <v>459</v>
      </c>
      <c r="D169" t="s">
        <v>319</v>
      </c>
      <c r="E169" t="s">
        <v>21</v>
      </c>
      <c r="F169" t="s">
        <v>22</v>
      </c>
      <c r="G169" t="s">
        <v>138</v>
      </c>
      <c r="H169">
        <v>2</v>
      </c>
      <c r="I169">
        <v>599</v>
      </c>
      <c r="J169">
        <v>1198</v>
      </c>
      <c r="K169" t="s">
        <v>17</v>
      </c>
      <c r="L169" t="s">
        <v>1409</v>
      </c>
      <c r="M169" t="s">
        <v>1415</v>
      </c>
    </row>
    <row r="170" spans="1:13">
      <c r="A170" t="s">
        <v>461</v>
      </c>
      <c r="B170" s="6">
        <v>46170</v>
      </c>
      <c r="C170" t="s">
        <v>366</v>
      </c>
      <c r="D170" t="s">
        <v>367</v>
      </c>
      <c r="E170" t="s">
        <v>30</v>
      </c>
      <c r="F170" t="s">
        <v>25</v>
      </c>
      <c r="G170" t="s">
        <v>26</v>
      </c>
      <c r="H170">
        <v>1</v>
      </c>
      <c r="I170">
        <v>1299</v>
      </c>
      <c r="J170">
        <v>1299</v>
      </c>
      <c r="K170" t="s">
        <v>17</v>
      </c>
      <c r="L170" t="s">
        <v>1409</v>
      </c>
      <c r="M170" t="s">
        <v>1415</v>
      </c>
    </row>
    <row r="171" spans="1:13">
      <c r="A171" t="s">
        <v>462</v>
      </c>
      <c r="B171" s="6">
        <v>46103</v>
      </c>
      <c r="C171" t="s">
        <v>268</v>
      </c>
      <c r="D171" t="s">
        <v>269</v>
      </c>
      <c r="E171" t="s">
        <v>21</v>
      </c>
      <c r="F171" t="s">
        <v>22</v>
      </c>
      <c r="G171" t="s">
        <v>43</v>
      </c>
      <c r="H171">
        <v>1</v>
      </c>
      <c r="I171">
        <v>1499</v>
      </c>
      <c r="J171">
        <v>1499</v>
      </c>
      <c r="K171" t="s">
        <v>17</v>
      </c>
      <c r="L171" t="s">
        <v>1409</v>
      </c>
      <c r="M171" t="s">
        <v>1412</v>
      </c>
    </row>
    <row r="172" spans="1:13">
      <c r="A172" t="s">
        <v>463</v>
      </c>
      <c r="B172" s="6">
        <v>46081</v>
      </c>
      <c r="C172" t="s">
        <v>400</v>
      </c>
      <c r="D172" t="s">
        <v>401</v>
      </c>
      <c r="E172" t="s">
        <v>21</v>
      </c>
      <c r="F172" t="s">
        <v>15</v>
      </c>
      <c r="G172" t="s">
        <v>162</v>
      </c>
      <c r="H172">
        <v>1</v>
      </c>
      <c r="I172">
        <v>1599</v>
      </c>
      <c r="J172">
        <v>1599</v>
      </c>
      <c r="K172" t="s">
        <v>17</v>
      </c>
      <c r="L172" t="s">
        <v>1409</v>
      </c>
      <c r="M172" t="s">
        <v>1410</v>
      </c>
    </row>
    <row r="173" spans="1:13">
      <c r="A173" t="s">
        <v>464</v>
      </c>
      <c r="B173" s="6">
        <v>46137</v>
      </c>
      <c r="C173" t="s">
        <v>95</v>
      </c>
      <c r="D173" t="s">
        <v>84</v>
      </c>
      <c r="E173" t="s">
        <v>64</v>
      </c>
      <c r="F173" t="s">
        <v>15</v>
      </c>
      <c r="G173" t="s">
        <v>162</v>
      </c>
      <c r="H173">
        <v>2</v>
      </c>
      <c r="I173">
        <v>1599</v>
      </c>
      <c r="J173">
        <v>3198</v>
      </c>
      <c r="K173" t="s">
        <v>17</v>
      </c>
      <c r="L173" t="s">
        <v>1409</v>
      </c>
      <c r="M173" t="s">
        <v>1411</v>
      </c>
    </row>
    <row r="174" spans="1:13">
      <c r="A174" t="s">
        <v>466</v>
      </c>
      <c r="B174" s="6">
        <v>46068</v>
      </c>
      <c r="C174" t="s">
        <v>467</v>
      </c>
      <c r="D174" t="s">
        <v>468</v>
      </c>
      <c r="E174" t="s">
        <v>217</v>
      </c>
      <c r="F174" t="s">
        <v>22</v>
      </c>
      <c r="G174" t="s">
        <v>23</v>
      </c>
      <c r="H174">
        <v>2</v>
      </c>
      <c r="I174">
        <v>3299</v>
      </c>
      <c r="J174">
        <v>6598</v>
      </c>
      <c r="K174" t="s">
        <v>17</v>
      </c>
      <c r="L174" t="s">
        <v>1409</v>
      </c>
      <c r="M174" t="s">
        <v>1410</v>
      </c>
    </row>
    <row r="175" spans="1:13">
      <c r="A175" t="s">
        <v>469</v>
      </c>
      <c r="B175" s="6">
        <v>46086</v>
      </c>
      <c r="C175" t="s">
        <v>470</v>
      </c>
      <c r="D175" t="s">
        <v>471</v>
      </c>
      <c r="E175" t="s">
        <v>217</v>
      </c>
      <c r="F175" t="s">
        <v>36</v>
      </c>
      <c r="G175" t="s">
        <v>141</v>
      </c>
      <c r="H175">
        <v>1</v>
      </c>
      <c r="I175">
        <v>999</v>
      </c>
      <c r="J175">
        <v>999</v>
      </c>
      <c r="K175" t="s">
        <v>17</v>
      </c>
      <c r="L175" t="s">
        <v>1409</v>
      </c>
      <c r="M175" t="s">
        <v>1412</v>
      </c>
    </row>
    <row r="176" spans="1:13">
      <c r="A176" t="s">
        <v>473</v>
      </c>
      <c r="B176" s="6">
        <v>46160</v>
      </c>
      <c r="C176" t="s">
        <v>271</v>
      </c>
      <c r="D176" t="s">
        <v>272</v>
      </c>
      <c r="E176" t="s">
        <v>64</v>
      </c>
      <c r="F176" t="s">
        <v>22</v>
      </c>
      <c r="G176" t="s">
        <v>43</v>
      </c>
      <c r="H176">
        <v>1</v>
      </c>
      <c r="I176">
        <v>1499</v>
      </c>
      <c r="J176">
        <v>1499</v>
      </c>
      <c r="K176" t="s">
        <v>17</v>
      </c>
      <c r="L176" t="s">
        <v>1409</v>
      </c>
      <c r="M176" t="s">
        <v>1415</v>
      </c>
    </row>
    <row r="177" spans="1:13">
      <c r="A177" t="s">
        <v>474</v>
      </c>
      <c r="B177" s="6">
        <v>46176</v>
      </c>
      <c r="C177" t="s">
        <v>475</v>
      </c>
      <c r="D177" t="s">
        <v>84</v>
      </c>
      <c r="E177" t="s">
        <v>73</v>
      </c>
      <c r="F177" t="s">
        <v>22</v>
      </c>
      <c r="G177" t="s">
        <v>196</v>
      </c>
      <c r="H177">
        <v>2</v>
      </c>
      <c r="I177">
        <v>2499</v>
      </c>
      <c r="J177">
        <v>4998</v>
      </c>
      <c r="K177" t="s">
        <v>17</v>
      </c>
      <c r="L177" t="s">
        <v>1409</v>
      </c>
      <c r="M177" t="s">
        <v>1414</v>
      </c>
    </row>
    <row r="178" spans="1:13">
      <c r="A178" t="s">
        <v>476</v>
      </c>
      <c r="B178" s="6">
        <v>46177</v>
      </c>
      <c r="C178" t="s">
        <v>241</v>
      </c>
      <c r="D178" t="s">
        <v>242</v>
      </c>
      <c r="E178" t="s">
        <v>89</v>
      </c>
      <c r="F178" t="s">
        <v>36</v>
      </c>
      <c r="G178" t="s">
        <v>37</v>
      </c>
      <c r="H178">
        <v>1</v>
      </c>
      <c r="I178">
        <v>2299</v>
      </c>
      <c r="J178">
        <v>2299</v>
      </c>
      <c r="K178" t="s">
        <v>17</v>
      </c>
      <c r="L178" t="s">
        <v>1409</v>
      </c>
      <c r="M178" t="s">
        <v>1414</v>
      </c>
    </row>
    <row r="179" spans="1:13">
      <c r="A179" t="s">
        <v>478</v>
      </c>
      <c r="B179" s="6">
        <v>46114</v>
      </c>
      <c r="C179" t="s">
        <v>386</v>
      </c>
      <c r="D179" t="s">
        <v>190</v>
      </c>
      <c r="E179" t="s">
        <v>217</v>
      </c>
      <c r="F179" t="s">
        <v>47</v>
      </c>
      <c r="G179" t="s">
        <v>128</v>
      </c>
      <c r="H179">
        <v>2</v>
      </c>
      <c r="I179">
        <v>1199</v>
      </c>
      <c r="J179">
        <v>2398</v>
      </c>
      <c r="K179" t="s">
        <v>17</v>
      </c>
      <c r="L179" t="s">
        <v>1409</v>
      </c>
      <c r="M179" t="s">
        <v>1411</v>
      </c>
    </row>
    <row r="180" spans="1:13">
      <c r="A180" t="s">
        <v>479</v>
      </c>
      <c r="B180" s="6">
        <v>46083</v>
      </c>
      <c r="C180" t="s">
        <v>480</v>
      </c>
      <c r="D180" t="s">
        <v>481</v>
      </c>
      <c r="E180" t="s">
        <v>21</v>
      </c>
      <c r="F180" t="s">
        <v>25</v>
      </c>
      <c r="G180" t="s">
        <v>69</v>
      </c>
      <c r="H180">
        <v>1</v>
      </c>
      <c r="I180">
        <v>2199</v>
      </c>
      <c r="J180">
        <v>2199</v>
      </c>
      <c r="K180" t="s">
        <v>17</v>
      </c>
      <c r="L180" t="s">
        <v>1409</v>
      </c>
      <c r="M180" t="s">
        <v>1412</v>
      </c>
    </row>
    <row r="181" spans="1:13">
      <c r="A181" t="s">
        <v>482</v>
      </c>
      <c r="B181" s="6">
        <v>46049</v>
      </c>
      <c r="C181" t="s">
        <v>483</v>
      </c>
      <c r="D181" t="s">
        <v>208</v>
      </c>
      <c r="E181" t="s">
        <v>14</v>
      </c>
      <c r="F181" t="s">
        <v>15</v>
      </c>
      <c r="G181" t="s">
        <v>16</v>
      </c>
      <c r="H181">
        <v>1</v>
      </c>
      <c r="I181">
        <v>1999</v>
      </c>
      <c r="J181">
        <v>1999</v>
      </c>
      <c r="K181" t="s">
        <v>17</v>
      </c>
      <c r="L181" t="s">
        <v>1418</v>
      </c>
      <c r="M181" t="s">
        <v>1413</v>
      </c>
    </row>
    <row r="182" spans="1:13">
      <c r="A182" t="s">
        <v>485</v>
      </c>
      <c r="B182" s="6">
        <v>46074</v>
      </c>
      <c r="C182" t="s">
        <v>486</v>
      </c>
      <c r="D182" t="s">
        <v>727</v>
      </c>
      <c r="E182" t="s">
        <v>64</v>
      </c>
      <c r="F182" t="s">
        <v>47</v>
      </c>
      <c r="G182" t="s">
        <v>56</v>
      </c>
      <c r="H182">
        <v>3</v>
      </c>
      <c r="I182">
        <v>3499</v>
      </c>
      <c r="J182">
        <v>10497</v>
      </c>
      <c r="K182" t="s">
        <v>17</v>
      </c>
      <c r="L182" t="s">
        <v>1409</v>
      </c>
      <c r="M182" t="s">
        <v>1410</v>
      </c>
    </row>
    <row r="183" spans="1:13">
      <c r="A183" t="s">
        <v>488</v>
      </c>
      <c r="B183" s="6">
        <v>46143</v>
      </c>
      <c r="C183" t="s">
        <v>299</v>
      </c>
      <c r="D183" t="s">
        <v>300</v>
      </c>
      <c r="E183" t="s">
        <v>104</v>
      </c>
      <c r="F183" t="s">
        <v>25</v>
      </c>
      <c r="G183" t="s">
        <v>115</v>
      </c>
      <c r="H183">
        <v>1</v>
      </c>
      <c r="I183">
        <v>3999</v>
      </c>
      <c r="J183">
        <v>3999</v>
      </c>
      <c r="K183" t="s">
        <v>17</v>
      </c>
      <c r="L183" t="s">
        <v>1409</v>
      </c>
      <c r="M183" t="s">
        <v>1415</v>
      </c>
    </row>
    <row r="184" spans="1:13">
      <c r="A184" t="s">
        <v>489</v>
      </c>
      <c r="B184" s="6">
        <v>46097</v>
      </c>
      <c r="C184" t="s">
        <v>490</v>
      </c>
      <c r="D184" t="s">
        <v>491</v>
      </c>
      <c r="E184" t="s">
        <v>217</v>
      </c>
      <c r="F184" t="s">
        <v>15</v>
      </c>
      <c r="G184" t="s">
        <v>52</v>
      </c>
      <c r="H184">
        <v>3</v>
      </c>
      <c r="I184">
        <v>899</v>
      </c>
      <c r="J184">
        <v>2697</v>
      </c>
      <c r="K184" t="s">
        <v>17</v>
      </c>
      <c r="L184" t="s">
        <v>1409</v>
      </c>
      <c r="M184" t="s">
        <v>1412</v>
      </c>
    </row>
    <row r="185" spans="1:13">
      <c r="A185" t="s">
        <v>492</v>
      </c>
      <c r="B185" s="6">
        <v>46140</v>
      </c>
      <c r="C185" t="s">
        <v>155</v>
      </c>
      <c r="D185" t="s">
        <v>156</v>
      </c>
      <c r="E185" t="s">
        <v>89</v>
      </c>
      <c r="F185" t="s">
        <v>25</v>
      </c>
      <c r="G185" t="s">
        <v>69</v>
      </c>
      <c r="H185">
        <v>1</v>
      </c>
      <c r="I185">
        <v>2199</v>
      </c>
      <c r="J185">
        <v>2199</v>
      </c>
      <c r="K185" t="s">
        <v>17</v>
      </c>
      <c r="L185" t="s">
        <v>1409</v>
      </c>
      <c r="M185" t="s">
        <v>1411</v>
      </c>
    </row>
    <row r="186" spans="1:13">
      <c r="A186" t="s">
        <v>493</v>
      </c>
      <c r="B186" s="6">
        <v>46108</v>
      </c>
      <c r="C186" t="s">
        <v>238</v>
      </c>
      <c r="D186" t="s">
        <v>140</v>
      </c>
      <c r="E186" t="s">
        <v>73</v>
      </c>
      <c r="F186" t="s">
        <v>36</v>
      </c>
      <c r="G186" t="s">
        <v>151</v>
      </c>
      <c r="H186">
        <v>1</v>
      </c>
      <c r="I186">
        <v>799</v>
      </c>
      <c r="J186">
        <v>799</v>
      </c>
      <c r="K186" t="s">
        <v>17</v>
      </c>
      <c r="L186" t="s">
        <v>1409</v>
      </c>
      <c r="M186" t="s">
        <v>1412</v>
      </c>
    </row>
    <row r="187" spans="1:13">
      <c r="A187" t="s">
        <v>494</v>
      </c>
      <c r="B187" s="6">
        <v>46041</v>
      </c>
      <c r="C187" t="s">
        <v>324</v>
      </c>
      <c r="D187" t="s">
        <v>325</v>
      </c>
      <c r="E187" t="s">
        <v>30</v>
      </c>
      <c r="F187" t="s">
        <v>25</v>
      </c>
      <c r="G187" t="s">
        <v>26</v>
      </c>
      <c r="H187">
        <v>1</v>
      </c>
      <c r="I187">
        <v>1299</v>
      </c>
      <c r="J187">
        <v>1299</v>
      </c>
      <c r="K187" t="s">
        <v>17</v>
      </c>
      <c r="L187" t="s">
        <v>1409</v>
      </c>
      <c r="M187" t="s">
        <v>1413</v>
      </c>
    </row>
    <row r="188" spans="1:13">
      <c r="A188" t="s">
        <v>495</v>
      </c>
      <c r="B188" s="6">
        <v>46188</v>
      </c>
      <c r="C188" t="s">
        <v>353</v>
      </c>
      <c r="D188" t="s">
        <v>354</v>
      </c>
      <c r="E188" t="s">
        <v>14</v>
      </c>
      <c r="F188" t="s">
        <v>25</v>
      </c>
      <c r="G188" t="s">
        <v>115</v>
      </c>
      <c r="H188">
        <v>2</v>
      </c>
      <c r="I188">
        <v>3999</v>
      </c>
      <c r="J188">
        <v>7998</v>
      </c>
      <c r="K188" t="s">
        <v>17</v>
      </c>
      <c r="L188" t="s">
        <v>1409</v>
      </c>
      <c r="M188" t="s">
        <v>1414</v>
      </c>
    </row>
    <row r="189" spans="1:13">
      <c r="A189" t="s">
        <v>496</v>
      </c>
      <c r="B189" s="6">
        <v>46176</v>
      </c>
      <c r="C189" t="s">
        <v>497</v>
      </c>
      <c r="D189" t="s">
        <v>114</v>
      </c>
      <c r="E189" t="s">
        <v>104</v>
      </c>
      <c r="F189" t="s">
        <v>47</v>
      </c>
      <c r="G189" t="s">
        <v>48</v>
      </c>
      <c r="H189">
        <v>1</v>
      </c>
      <c r="I189">
        <v>499</v>
      </c>
      <c r="J189">
        <v>499</v>
      </c>
      <c r="K189" t="s">
        <v>78</v>
      </c>
      <c r="L189" t="s">
        <v>1409</v>
      </c>
      <c r="M189" t="s">
        <v>1414</v>
      </c>
    </row>
    <row r="190" spans="1:13">
      <c r="A190" t="s">
        <v>498</v>
      </c>
      <c r="B190" s="6">
        <v>46041</v>
      </c>
      <c r="C190" t="s">
        <v>499</v>
      </c>
      <c r="D190" t="s">
        <v>59</v>
      </c>
      <c r="E190" t="s">
        <v>21</v>
      </c>
      <c r="F190" t="s">
        <v>25</v>
      </c>
      <c r="G190" t="s">
        <v>31</v>
      </c>
      <c r="H190">
        <v>1</v>
      </c>
      <c r="I190">
        <v>1799</v>
      </c>
      <c r="J190">
        <v>1799</v>
      </c>
      <c r="K190" t="s">
        <v>17</v>
      </c>
      <c r="L190" t="s">
        <v>1409</v>
      </c>
      <c r="M190" t="s">
        <v>1413</v>
      </c>
    </row>
    <row r="191" spans="1:13">
      <c r="A191" t="s">
        <v>500</v>
      </c>
      <c r="B191" s="6">
        <v>46125</v>
      </c>
      <c r="C191" t="s">
        <v>164</v>
      </c>
      <c r="D191" t="s">
        <v>165</v>
      </c>
      <c r="E191" t="s">
        <v>104</v>
      </c>
      <c r="F191" t="s">
        <v>15</v>
      </c>
      <c r="G191" t="s">
        <v>16</v>
      </c>
      <c r="H191">
        <v>2</v>
      </c>
      <c r="I191">
        <v>1999</v>
      </c>
      <c r="J191">
        <v>3998</v>
      </c>
      <c r="K191" t="s">
        <v>17</v>
      </c>
      <c r="L191" t="s">
        <v>1418</v>
      </c>
      <c r="M191" t="s">
        <v>1411</v>
      </c>
    </row>
    <row r="192" spans="1:13">
      <c r="A192" t="s">
        <v>502</v>
      </c>
      <c r="B192" s="6">
        <v>46143</v>
      </c>
      <c r="C192" t="s">
        <v>98</v>
      </c>
      <c r="D192" t="s">
        <v>99</v>
      </c>
      <c r="E192" t="s">
        <v>64</v>
      </c>
      <c r="F192" t="s">
        <v>22</v>
      </c>
      <c r="G192" t="s">
        <v>138</v>
      </c>
      <c r="H192">
        <v>3</v>
      </c>
      <c r="I192">
        <v>599</v>
      </c>
      <c r="J192">
        <v>1797</v>
      </c>
      <c r="K192" t="s">
        <v>78</v>
      </c>
      <c r="L192" t="s">
        <v>1409</v>
      </c>
      <c r="M192" t="s">
        <v>1415</v>
      </c>
    </row>
    <row r="193" spans="1:13">
      <c r="A193" t="s">
        <v>503</v>
      </c>
      <c r="B193" s="6">
        <v>46186</v>
      </c>
      <c r="C193" t="s">
        <v>504</v>
      </c>
      <c r="D193" t="s">
        <v>505</v>
      </c>
      <c r="E193" t="s">
        <v>217</v>
      </c>
      <c r="F193" t="s">
        <v>25</v>
      </c>
      <c r="G193" t="s">
        <v>115</v>
      </c>
      <c r="H193">
        <v>1</v>
      </c>
      <c r="I193">
        <v>3999</v>
      </c>
      <c r="J193">
        <v>3999</v>
      </c>
      <c r="K193" t="s">
        <v>17</v>
      </c>
      <c r="L193" t="s">
        <v>1409</v>
      </c>
      <c r="M193" t="s">
        <v>1414</v>
      </c>
    </row>
    <row r="194" spans="1:13">
      <c r="A194" t="s">
        <v>506</v>
      </c>
      <c r="B194" s="6">
        <v>46075</v>
      </c>
      <c r="C194" t="s">
        <v>507</v>
      </c>
      <c r="D194" t="s">
        <v>508</v>
      </c>
      <c r="E194" t="s">
        <v>30</v>
      </c>
      <c r="F194" t="s">
        <v>36</v>
      </c>
      <c r="G194" t="s">
        <v>151</v>
      </c>
      <c r="H194">
        <v>2</v>
      </c>
      <c r="I194">
        <v>799</v>
      </c>
      <c r="J194">
        <v>1598</v>
      </c>
      <c r="K194" t="s">
        <v>17</v>
      </c>
      <c r="L194" t="s">
        <v>1409</v>
      </c>
      <c r="M194" t="s">
        <v>1410</v>
      </c>
    </row>
    <row r="195" spans="1:13">
      <c r="A195" t="s">
        <v>509</v>
      </c>
      <c r="B195" s="6">
        <v>46038</v>
      </c>
      <c r="C195" t="s">
        <v>510</v>
      </c>
      <c r="D195" t="s">
        <v>511</v>
      </c>
      <c r="E195" t="s">
        <v>1417</v>
      </c>
      <c r="F195" t="s">
        <v>47</v>
      </c>
      <c r="G195" t="s">
        <v>128</v>
      </c>
      <c r="H195">
        <v>1</v>
      </c>
      <c r="I195">
        <v>1199</v>
      </c>
      <c r="J195">
        <v>1199</v>
      </c>
      <c r="K195" t="s">
        <v>17</v>
      </c>
      <c r="L195" t="s">
        <v>1409</v>
      </c>
      <c r="M195" t="s">
        <v>1413</v>
      </c>
    </row>
    <row r="196" spans="1:13">
      <c r="A196" t="s">
        <v>512</v>
      </c>
      <c r="B196" s="6">
        <v>46073</v>
      </c>
      <c r="C196" t="s">
        <v>189</v>
      </c>
      <c r="D196" t="s">
        <v>190</v>
      </c>
      <c r="E196" t="s">
        <v>104</v>
      </c>
      <c r="F196" t="s">
        <v>25</v>
      </c>
      <c r="G196" t="s">
        <v>31</v>
      </c>
      <c r="H196">
        <v>1</v>
      </c>
      <c r="I196">
        <v>1799</v>
      </c>
      <c r="J196">
        <v>1799</v>
      </c>
      <c r="K196" t="s">
        <v>17</v>
      </c>
      <c r="L196" t="s">
        <v>1409</v>
      </c>
      <c r="M196" t="s">
        <v>1410</v>
      </c>
    </row>
    <row r="197" spans="1:13">
      <c r="A197" t="s">
        <v>514</v>
      </c>
      <c r="B197" s="6">
        <v>46148</v>
      </c>
      <c r="C197" t="s">
        <v>304</v>
      </c>
      <c r="D197" t="s">
        <v>305</v>
      </c>
      <c r="E197" t="s">
        <v>21</v>
      </c>
      <c r="F197" t="s">
        <v>47</v>
      </c>
      <c r="G197" t="s">
        <v>56</v>
      </c>
      <c r="H197">
        <v>2</v>
      </c>
      <c r="I197">
        <v>3499</v>
      </c>
      <c r="J197">
        <v>6998</v>
      </c>
      <c r="K197" t="s">
        <v>17</v>
      </c>
      <c r="L197" t="s">
        <v>1409</v>
      </c>
      <c r="M197" t="s">
        <v>1415</v>
      </c>
    </row>
    <row r="198" spans="1:13">
      <c r="A198" t="s">
        <v>515</v>
      </c>
      <c r="B198" s="6">
        <v>46068</v>
      </c>
      <c r="C198" t="s">
        <v>149</v>
      </c>
      <c r="D198" t="s">
        <v>150</v>
      </c>
      <c r="E198" t="s">
        <v>73</v>
      </c>
      <c r="F198" t="s">
        <v>15</v>
      </c>
      <c r="G198" t="s">
        <v>162</v>
      </c>
      <c r="H198">
        <v>1</v>
      </c>
      <c r="I198">
        <v>1599</v>
      </c>
      <c r="J198">
        <v>1599</v>
      </c>
      <c r="K198" t="s">
        <v>17</v>
      </c>
      <c r="L198" t="s">
        <v>1409</v>
      </c>
      <c r="M198" t="s">
        <v>1410</v>
      </c>
    </row>
    <row r="199" spans="1:13">
      <c r="A199" t="s">
        <v>516</v>
      </c>
      <c r="B199" s="6">
        <v>46143</v>
      </c>
      <c r="C199" t="s">
        <v>149</v>
      </c>
      <c r="D199" t="s">
        <v>150</v>
      </c>
      <c r="E199" t="s">
        <v>73</v>
      </c>
      <c r="F199" t="s">
        <v>22</v>
      </c>
      <c r="G199" t="s">
        <v>138</v>
      </c>
      <c r="H199">
        <v>1</v>
      </c>
      <c r="I199">
        <v>599</v>
      </c>
      <c r="J199">
        <v>599</v>
      </c>
      <c r="K199" t="s">
        <v>78</v>
      </c>
      <c r="L199" t="s">
        <v>1409</v>
      </c>
      <c r="M199" t="s">
        <v>1415</v>
      </c>
    </row>
    <row r="200" spans="1:13">
      <c r="A200" t="s">
        <v>517</v>
      </c>
      <c r="B200" s="6">
        <v>46082</v>
      </c>
      <c r="C200" t="s">
        <v>249</v>
      </c>
      <c r="D200" t="s">
        <v>250</v>
      </c>
      <c r="E200" t="s">
        <v>217</v>
      </c>
      <c r="F200" t="s">
        <v>22</v>
      </c>
      <c r="G200" t="s">
        <v>43</v>
      </c>
      <c r="H200">
        <v>1</v>
      </c>
      <c r="I200">
        <v>1499</v>
      </c>
      <c r="J200">
        <v>1499</v>
      </c>
      <c r="K200" t="s">
        <v>17</v>
      </c>
      <c r="L200" t="s">
        <v>1409</v>
      </c>
      <c r="M200" t="s">
        <v>1412</v>
      </c>
    </row>
    <row r="201" spans="1:13">
      <c r="A201" t="s">
        <v>518</v>
      </c>
      <c r="B201" s="6">
        <v>46057</v>
      </c>
      <c r="C201" t="s">
        <v>400</v>
      </c>
      <c r="D201" t="s">
        <v>401</v>
      </c>
      <c r="E201" t="s">
        <v>21</v>
      </c>
      <c r="F201" t="s">
        <v>36</v>
      </c>
      <c r="G201" t="s">
        <v>37</v>
      </c>
      <c r="H201">
        <v>2</v>
      </c>
      <c r="I201">
        <v>2299</v>
      </c>
      <c r="J201">
        <v>4598</v>
      </c>
      <c r="K201" t="s">
        <v>17</v>
      </c>
      <c r="L201" t="s">
        <v>1409</v>
      </c>
      <c r="M201" t="s">
        <v>1410</v>
      </c>
    </row>
    <row r="202" spans="1:13">
      <c r="A202" t="s">
        <v>519</v>
      </c>
      <c r="B202" s="6">
        <v>46062</v>
      </c>
      <c r="C202" t="s">
        <v>226</v>
      </c>
      <c r="D202" t="s">
        <v>227</v>
      </c>
      <c r="E202" t="s">
        <v>30</v>
      </c>
      <c r="F202" t="s">
        <v>15</v>
      </c>
      <c r="G202" t="s">
        <v>162</v>
      </c>
      <c r="H202">
        <v>2</v>
      </c>
      <c r="I202">
        <v>1599</v>
      </c>
      <c r="J202">
        <v>3198</v>
      </c>
      <c r="K202" t="s">
        <v>17</v>
      </c>
      <c r="L202" t="s">
        <v>1409</v>
      </c>
      <c r="M202" t="s">
        <v>1410</v>
      </c>
    </row>
    <row r="203" spans="1:13">
      <c r="A203" t="s">
        <v>520</v>
      </c>
      <c r="B203" s="6">
        <v>46058</v>
      </c>
      <c r="C203" t="s">
        <v>450</v>
      </c>
      <c r="D203" t="s">
        <v>451</v>
      </c>
      <c r="E203" t="s">
        <v>64</v>
      </c>
      <c r="F203" t="s">
        <v>25</v>
      </c>
      <c r="G203" t="s">
        <v>115</v>
      </c>
      <c r="H203">
        <v>2</v>
      </c>
      <c r="I203">
        <v>3999</v>
      </c>
      <c r="J203">
        <v>7998</v>
      </c>
      <c r="K203" t="s">
        <v>17</v>
      </c>
      <c r="L203" t="s">
        <v>1409</v>
      </c>
      <c r="M203" t="s">
        <v>1410</v>
      </c>
    </row>
    <row r="204" spans="1:13">
      <c r="A204" t="s">
        <v>521</v>
      </c>
      <c r="B204" s="6">
        <v>46176</v>
      </c>
      <c r="C204" t="s">
        <v>226</v>
      </c>
      <c r="D204" t="s">
        <v>227</v>
      </c>
      <c r="E204" t="s">
        <v>30</v>
      </c>
      <c r="F204" t="s">
        <v>15</v>
      </c>
      <c r="G204" t="s">
        <v>16</v>
      </c>
      <c r="H204">
        <v>1</v>
      </c>
      <c r="I204">
        <v>1999</v>
      </c>
      <c r="J204">
        <v>1999</v>
      </c>
      <c r="K204" t="s">
        <v>17</v>
      </c>
      <c r="L204" t="s">
        <v>1409</v>
      </c>
      <c r="M204" t="s">
        <v>1414</v>
      </c>
    </row>
    <row r="205" spans="1:13">
      <c r="A205" t="s">
        <v>522</v>
      </c>
      <c r="B205" s="6">
        <v>46198</v>
      </c>
      <c r="C205" t="s">
        <v>283</v>
      </c>
      <c r="D205" t="s">
        <v>227</v>
      </c>
      <c r="E205" t="s">
        <v>104</v>
      </c>
      <c r="F205" t="s">
        <v>47</v>
      </c>
      <c r="G205" t="s">
        <v>100</v>
      </c>
      <c r="H205">
        <v>1</v>
      </c>
      <c r="I205">
        <v>2799</v>
      </c>
      <c r="J205">
        <v>2799</v>
      </c>
      <c r="K205" t="s">
        <v>17</v>
      </c>
      <c r="L205" t="s">
        <v>1409</v>
      </c>
      <c r="M205" t="s">
        <v>1414</v>
      </c>
    </row>
    <row r="206" spans="1:13">
      <c r="A206" t="s">
        <v>523</v>
      </c>
      <c r="B206" s="6">
        <v>46048</v>
      </c>
      <c r="C206" t="s">
        <v>198</v>
      </c>
      <c r="D206" t="s">
        <v>88</v>
      </c>
      <c r="E206" t="s">
        <v>30</v>
      </c>
      <c r="F206" t="s">
        <v>47</v>
      </c>
      <c r="G206" t="s">
        <v>48</v>
      </c>
      <c r="H206">
        <v>1</v>
      </c>
      <c r="I206">
        <v>499</v>
      </c>
      <c r="J206">
        <v>499</v>
      </c>
      <c r="K206" t="s">
        <v>17</v>
      </c>
      <c r="L206" t="s">
        <v>1409</v>
      </c>
      <c r="M206" t="s">
        <v>1413</v>
      </c>
    </row>
    <row r="207" spans="1:13">
      <c r="A207" t="s">
        <v>524</v>
      </c>
      <c r="B207" s="6">
        <v>46044</v>
      </c>
      <c r="C207" t="s">
        <v>226</v>
      </c>
      <c r="D207" t="s">
        <v>227</v>
      </c>
      <c r="E207" t="s">
        <v>30</v>
      </c>
      <c r="F207" t="s">
        <v>15</v>
      </c>
      <c r="G207" t="s">
        <v>52</v>
      </c>
      <c r="H207">
        <v>1</v>
      </c>
      <c r="I207">
        <v>899</v>
      </c>
      <c r="J207">
        <v>899</v>
      </c>
      <c r="K207" t="s">
        <v>17</v>
      </c>
      <c r="L207" t="s">
        <v>1409</v>
      </c>
      <c r="M207" t="s">
        <v>1413</v>
      </c>
    </row>
    <row r="208" spans="1:13">
      <c r="A208" t="s">
        <v>525</v>
      </c>
      <c r="B208" s="6">
        <v>46194</v>
      </c>
      <c r="C208" t="s">
        <v>526</v>
      </c>
      <c r="D208" t="s">
        <v>55</v>
      </c>
      <c r="E208" t="s">
        <v>30</v>
      </c>
      <c r="F208" t="s">
        <v>36</v>
      </c>
      <c r="G208" t="s">
        <v>37</v>
      </c>
      <c r="H208">
        <v>1</v>
      </c>
      <c r="I208">
        <v>2299</v>
      </c>
      <c r="J208">
        <v>2299</v>
      </c>
      <c r="K208" t="s">
        <v>17</v>
      </c>
      <c r="L208" t="s">
        <v>1409</v>
      </c>
      <c r="M208" t="s">
        <v>1414</v>
      </c>
    </row>
    <row r="209" spans="1:13">
      <c r="A209" t="s">
        <v>527</v>
      </c>
      <c r="B209" s="6">
        <v>46092</v>
      </c>
      <c r="C209" t="s">
        <v>160</v>
      </c>
      <c r="D209" t="s">
        <v>161</v>
      </c>
      <c r="E209" t="s">
        <v>64</v>
      </c>
      <c r="F209" t="s">
        <v>47</v>
      </c>
      <c r="G209" t="s">
        <v>128</v>
      </c>
      <c r="H209">
        <v>2</v>
      </c>
      <c r="I209">
        <v>1199</v>
      </c>
      <c r="J209">
        <v>2398</v>
      </c>
      <c r="K209" t="s">
        <v>17</v>
      </c>
      <c r="L209" t="s">
        <v>1409</v>
      </c>
      <c r="M209" t="s">
        <v>1412</v>
      </c>
    </row>
    <row r="210" spans="1:13">
      <c r="A210" t="s">
        <v>529</v>
      </c>
      <c r="B210" s="6">
        <v>46163</v>
      </c>
      <c r="C210" t="s">
        <v>530</v>
      </c>
      <c r="D210" t="s">
        <v>245</v>
      </c>
      <c r="E210" t="s">
        <v>73</v>
      </c>
      <c r="F210" t="s">
        <v>15</v>
      </c>
      <c r="G210" t="s">
        <v>52</v>
      </c>
      <c r="H210">
        <v>1</v>
      </c>
      <c r="I210">
        <v>899</v>
      </c>
      <c r="J210">
        <v>899</v>
      </c>
      <c r="K210" t="s">
        <v>17</v>
      </c>
      <c r="L210" t="s">
        <v>1409</v>
      </c>
      <c r="M210" t="s">
        <v>1415</v>
      </c>
    </row>
    <row r="211" spans="1:13">
      <c r="A211" t="s">
        <v>531</v>
      </c>
      <c r="B211" s="6">
        <v>46093</v>
      </c>
      <c r="C211" t="s">
        <v>499</v>
      </c>
      <c r="D211" t="s">
        <v>59</v>
      </c>
      <c r="E211" t="s">
        <v>21</v>
      </c>
      <c r="F211" t="s">
        <v>47</v>
      </c>
      <c r="G211" t="s">
        <v>48</v>
      </c>
      <c r="H211">
        <v>1</v>
      </c>
      <c r="I211">
        <v>499</v>
      </c>
      <c r="J211">
        <v>499</v>
      </c>
      <c r="K211" t="s">
        <v>17</v>
      </c>
      <c r="L211" t="s">
        <v>1409</v>
      </c>
      <c r="M211" t="s">
        <v>1412</v>
      </c>
    </row>
    <row r="212" spans="1:13">
      <c r="A212" t="s">
        <v>532</v>
      </c>
      <c r="B212" s="6">
        <v>46057</v>
      </c>
      <c r="C212" t="s">
        <v>252</v>
      </c>
      <c r="D212" t="s">
        <v>253</v>
      </c>
      <c r="E212" t="s">
        <v>104</v>
      </c>
      <c r="F212" t="s">
        <v>15</v>
      </c>
      <c r="G212" t="s">
        <v>162</v>
      </c>
      <c r="H212">
        <v>1</v>
      </c>
      <c r="I212">
        <v>1599</v>
      </c>
      <c r="J212">
        <v>1599</v>
      </c>
      <c r="K212" t="s">
        <v>17</v>
      </c>
      <c r="L212" t="s">
        <v>1409</v>
      </c>
      <c r="M212" t="s">
        <v>1410</v>
      </c>
    </row>
    <row r="213" spans="1:13">
      <c r="A213" t="s">
        <v>533</v>
      </c>
      <c r="B213" s="6">
        <v>46126</v>
      </c>
      <c r="C213" t="s">
        <v>342</v>
      </c>
      <c r="D213" t="s">
        <v>177</v>
      </c>
      <c r="E213" t="s">
        <v>1417</v>
      </c>
      <c r="F213" t="s">
        <v>47</v>
      </c>
      <c r="G213" t="s">
        <v>48</v>
      </c>
      <c r="H213">
        <v>1</v>
      </c>
      <c r="I213">
        <v>499</v>
      </c>
      <c r="J213">
        <v>499</v>
      </c>
      <c r="K213" t="s">
        <v>17</v>
      </c>
      <c r="L213" t="s">
        <v>1409</v>
      </c>
      <c r="M213" t="s">
        <v>1411</v>
      </c>
    </row>
    <row r="214" spans="1:13">
      <c r="A214" t="s">
        <v>534</v>
      </c>
      <c r="B214" s="6">
        <v>46067</v>
      </c>
      <c r="C214" t="s">
        <v>342</v>
      </c>
      <c r="D214" t="s">
        <v>177</v>
      </c>
      <c r="E214" t="s">
        <v>104</v>
      </c>
      <c r="F214" t="s">
        <v>36</v>
      </c>
      <c r="G214" t="s">
        <v>37</v>
      </c>
      <c r="H214">
        <v>2</v>
      </c>
      <c r="I214">
        <v>2299</v>
      </c>
      <c r="J214">
        <v>4598</v>
      </c>
      <c r="K214" t="s">
        <v>17</v>
      </c>
      <c r="L214" t="s">
        <v>1409</v>
      </c>
      <c r="M214" t="s">
        <v>1410</v>
      </c>
    </row>
    <row r="215" spans="1:13">
      <c r="A215" t="s">
        <v>535</v>
      </c>
      <c r="B215" s="6">
        <v>46066</v>
      </c>
      <c r="C215" t="s">
        <v>122</v>
      </c>
      <c r="D215" t="s">
        <v>123</v>
      </c>
      <c r="E215" t="s">
        <v>14</v>
      </c>
      <c r="F215" t="s">
        <v>36</v>
      </c>
      <c r="G215" t="s">
        <v>141</v>
      </c>
      <c r="H215">
        <v>2</v>
      </c>
      <c r="I215">
        <v>999</v>
      </c>
      <c r="J215">
        <v>1998</v>
      </c>
      <c r="K215" t="s">
        <v>17</v>
      </c>
      <c r="L215" t="s">
        <v>1409</v>
      </c>
      <c r="M215" t="s">
        <v>1410</v>
      </c>
    </row>
    <row r="216" spans="1:13">
      <c r="A216" t="s">
        <v>536</v>
      </c>
      <c r="B216" s="6">
        <v>46143</v>
      </c>
      <c r="C216" t="s">
        <v>149</v>
      </c>
      <c r="D216" t="s">
        <v>150</v>
      </c>
      <c r="E216" t="s">
        <v>73</v>
      </c>
      <c r="F216" t="s">
        <v>36</v>
      </c>
      <c r="G216" t="s">
        <v>37</v>
      </c>
      <c r="H216">
        <v>1</v>
      </c>
      <c r="I216">
        <v>2299</v>
      </c>
      <c r="J216">
        <v>2299</v>
      </c>
      <c r="K216" t="s">
        <v>17</v>
      </c>
      <c r="L216" t="s">
        <v>1409</v>
      </c>
      <c r="M216" t="s">
        <v>1415</v>
      </c>
    </row>
    <row r="217" spans="1:13">
      <c r="A217" t="s">
        <v>537</v>
      </c>
      <c r="B217" s="6">
        <v>46052</v>
      </c>
      <c r="C217" t="s">
        <v>430</v>
      </c>
      <c r="D217" t="s">
        <v>431</v>
      </c>
      <c r="E217" t="s">
        <v>104</v>
      </c>
      <c r="F217" t="s">
        <v>47</v>
      </c>
      <c r="G217" t="s">
        <v>56</v>
      </c>
      <c r="H217">
        <v>1</v>
      </c>
      <c r="I217">
        <v>3499</v>
      </c>
      <c r="J217">
        <v>3499</v>
      </c>
      <c r="K217" t="s">
        <v>78</v>
      </c>
      <c r="L217" t="s">
        <v>1409</v>
      </c>
      <c r="M217" t="s">
        <v>1413</v>
      </c>
    </row>
    <row r="218" spans="1:13">
      <c r="A218" t="s">
        <v>538</v>
      </c>
      <c r="B218" s="6">
        <v>46153</v>
      </c>
      <c r="C218" t="s">
        <v>249</v>
      </c>
      <c r="D218" t="s">
        <v>250</v>
      </c>
      <c r="E218" t="s">
        <v>217</v>
      </c>
      <c r="F218" t="s">
        <v>36</v>
      </c>
      <c r="G218" t="s">
        <v>37</v>
      </c>
      <c r="H218">
        <v>1</v>
      </c>
      <c r="I218">
        <v>2299</v>
      </c>
      <c r="J218">
        <v>2299</v>
      </c>
      <c r="K218" t="s">
        <v>17</v>
      </c>
      <c r="L218" t="s">
        <v>1409</v>
      </c>
      <c r="M218" t="s">
        <v>1415</v>
      </c>
    </row>
    <row r="219" spans="1:13">
      <c r="A219" t="s">
        <v>540</v>
      </c>
      <c r="B219" s="6">
        <v>46198</v>
      </c>
      <c r="C219" t="s">
        <v>475</v>
      </c>
      <c r="D219" t="s">
        <v>84</v>
      </c>
      <c r="E219" t="s">
        <v>73</v>
      </c>
      <c r="F219" t="s">
        <v>15</v>
      </c>
      <c r="G219" t="s">
        <v>162</v>
      </c>
      <c r="H219">
        <v>1</v>
      </c>
      <c r="I219">
        <v>1599</v>
      </c>
      <c r="J219">
        <v>1599</v>
      </c>
      <c r="K219" t="s">
        <v>17</v>
      </c>
      <c r="L219" t="s">
        <v>1409</v>
      </c>
      <c r="M219" t="s">
        <v>1414</v>
      </c>
    </row>
    <row r="220" spans="1:13">
      <c r="A220" t="s">
        <v>542</v>
      </c>
      <c r="B220" s="6">
        <v>46166</v>
      </c>
      <c r="C220" t="s">
        <v>122</v>
      </c>
      <c r="D220" t="s">
        <v>123</v>
      </c>
      <c r="E220" t="s">
        <v>14</v>
      </c>
      <c r="F220" t="s">
        <v>15</v>
      </c>
      <c r="G220" t="s">
        <v>52</v>
      </c>
      <c r="H220">
        <v>2</v>
      </c>
      <c r="I220">
        <v>899</v>
      </c>
      <c r="J220">
        <v>1798</v>
      </c>
      <c r="K220" t="s">
        <v>17</v>
      </c>
      <c r="L220" t="s">
        <v>1409</v>
      </c>
      <c r="M220" t="s">
        <v>1415</v>
      </c>
    </row>
    <row r="221" spans="1:13">
      <c r="A221" t="s">
        <v>543</v>
      </c>
      <c r="B221" s="6">
        <v>46192</v>
      </c>
      <c r="C221" t="s">
        <v>544</v>
      </c>
      <c r="D221" t="s">
        <v>545</v>
      </c>
      <c r="E221" t="s">
        <v>14</v>
      </c>
      <c r="F221" t="s">
        <v>22</v>
      </c>
      <c r="G221" t="s">
        <v>138</v>
      </c>
      <c r="H221">
        <v>1</v>
      </c>
      <c r="I221">
        <v>599</v>
      </c>
      <c r="J221">
        <v>599</v>
      </c>
      <c r="K221" t="s">
        <v>17</v>
      </c>
      <c r="L221" t="s">
        <v>1409</v>
      </c>
      <c r="M221" t="s">
        <v>1414</v>
      </c>
    </row>
    <row r="222" spans="1:13">
      <c r="A222" t="s">
        <v>546</v>
      </c>
      <c r="B222" s="6">
        <v>46045</v>
      </c>
      <c r="C222" t="s">
        <v>405</v>
      </c>
      <c r="D222" t="s">
        <v>406</v>
      </c>
      <c r="E222" t="s">
        <v>89</v>
      </c>
      <c r="F222" t="s">
        <v>47</v>
      </c>
      <c r="G222" t="s">
        <v>128</v>
      </c>
      <c r="H222">
        <v>2</v>
      </c>
      <c r="I222">
        <v>1199</v>
      </c>
      <c r="J222">
        <v>2398</v>
      </c>
      <c r="K222" t="s">
        <v>17</v>
      </c>
      <c r="L222" t="s">
        <v>1409</v>
      </c>
      <c r="M222" t="s">
        <v>1413</v>
      </c>
    </row>
    <row r="223" spans="1:13">
      <c r="A223" t="s">
        <v>547</v>
      </c>
      <c r="B223" s="6">
        <v>46167</v>
      </c>
      <c r="C223" t="s">
        <v>459</v>
      </c>
      <c r="D223" t="s">
        <v>319</v>
      </c>
      <c r="E223" t="s">
        <v>21</v>
      </c>
      <c r="F223" t="s">
        <v>36</v>
      </c>
      <c r="G223" t="s">
        <v>37</v>
      </c>
      <c r="H223">
        <v>1</v>
      </c>
      <c r="I223">
        <v>2299</v>
      </c>
      <c r="J223">
        <v>2299</v>
      </c>
      <c r="K223" t="s">
        <v>17</v>
      </c>
      <c r="L223" t="s">
        <v>1409</v>
      </c>
      <c r="M223" t="s">
        <v>1415</v>
      </c>
    </row>
    <row r="224" spans="1:13">
      <c r="A224" t="s">
        <v>548</v>
      </c>
      <c r="B224" s="6">
        <v>46142</v>
      </c>
      <c r="C224" t="s">
        <v>102</v>
      </c>
      <c r="D224" t="s">
        <v>103</v>
      </c>
      <c r="E224" t="s">
        <v>104</v>
      </c>
      <c r="F224" t="s">
        <v>36</v>
      </c>
      <c r="G224" t="s">
        <v>141</v>
      </c>
      <c r="H224">
        <v>2</v>
      </c>
      <c r="I224">
        <v>999</v>
      </c>
      <c r="J224">
        <v>1998</v>
      </c>
      <c r="K224" t="s">
        <v>17</v>
      </c>
      <c r="L224" t="s">
        <v>1409</v>
      </c>
      <c r="M224" t="s">
        <v>1411</v>
      </c>
    </row>
    <row r="225" spans="1:13">
      <c r="A225" t="s">
        <v>549</v>
      </c>
      <c r="B225" s="6">
        <v>46160</v>
      </c>
      <c r="C225" t="s">
        <v>207</v>
      </c>
      <c r="D225" t="s">
        <v>208</v>
      </c>
      <c r="E225" t="s">
        <v>64</v>
      </c>
      <c r="F225" t="s">
        <v>22</v>
      </c>
      <c r="G225" t="s">
        <v>138</v>
      </c>
      <c r="H225">
        <v>1</v>
      </c>
      <c r="I225">
        <v>599</v>
      </c>
      <c r="J225">
        <v>599</v>
      </c>
      <c r="K225" t="s">
        <v>17</v>
      </c>
      <c r="L225" t="s">
        <v>1409</v>
      </c>
      <c r="M225" t="s">
        <v>1415</v>
      </c>
    </row>
    <row r="226" spans="1:13">
      <c r="A226" t="s">
        <v>550</v>
      </c>
      <c r="B226" s="6">
        <v>46198</v>
      </c>
      <c r="C226" t="s">
        <v>551</v>
      </c>
      <c r="D226" t="s">
        <v>34</v>
      </c>
      <c r="E226" t="s">
        <v>217</v>
      </c>
      <c r="F226" t="s">
        <v>36</v>
      </c>
      <c r="G226" t="s">
        <v>151</v>
      </c>
      <c r="H226">
        <v>1</v>
      </c>
      <c r="I226">
        <v>799</v>
      </c>
      <c r="J226">
        <v>799</v>
      </c>
      <c r="K226" t="s">
        <v>17</v>
      </c>
      <c r="L226" t="s">
        <v>1409</v>
      </c>
      <c r="M226" t="s">
        <v>1414</v>
      </c>
    </row>
    <row r="227" spans="1:13">
      <c r="A227" t="s">
        <v>552</v>
      </c>
      <c r="B227" s="6">
        <v>46141</v>
      </c>
      <c r="C227" t="s">
        <v>106</v>
      </c>
      <c r="D227" t="s">
        <v>107</v>
      </c>
      <c r="E227" t="s">
        <v>21</v>
      </c>
      <c r="F227" t="s">
        <v>22</v>
      </c>
      <c r="G227" t="s">
        <v>23</v>
      </c>
      <c r="H227">
        <v>1</v>
      </c>
      <c r="I227">
        <v>3299</v>
      </c>
      <c r="J227">
        <v>3299</v>
      </c>
      <c r="K227" t="s">
        <v>17</v>
      </c>
      <c r="L227" t="s">
        <v>1409</v>
      </c>
      <c r="M227" t="s">
        <v>1411</v>
      </c>
    </row>
    <row r="228" spans="1:13">
      <c r="A228" t="s">
        <v>553</v>
      </c>
      <c r="B228" s="6">
        <v>46113</v>
      </c>
      <c r="C228" t="s">
        <v>136</v>
      </c>
      <c r="D228" t="s">
        <v>137</v>
      </c>
      <c r="E228" t="s">
        <v>21</v>
      </c>
      <c r="F228" t="s">
        <v>47</v>
      </c>
      <c r="G228" t="s">
        <v>48</v>
      </c>
      <c r="H228">
        <v>1</v>
      </c>
      <c r="I228">
        <v>499</v>
      </c>
      <c r="J228">
        <v>499</v>
      </c>
      <c r="K228" t="s">
        <v>17</v>
      </c>
      <c r="L228" t="s">
        <v>1409</v>
      </c>
      <c r="M228" t="s">
        <v>1411</v>
      </c>
    </row>
    <row r="229" spans="1:13">
      <c r="A229" t="s">
        <v>554</v>
      </c>
      <c r="B229" s="6">
        <v>46121</v>
      </c>
      <c r="C229" t="s">
        <v>28</v>
      </c>
      <c r="D229" t="s">
        <v>29</v>
      </c>
      <c r="E229" t="s">
        <v>30</v>
      </c>
      <c r="F229" t="s">
        <v>36</v>
      </c>
      <c r="G229" t="s">
        <v>141</v>
      </c>
      <c r="H229">
        <v>2</v>
      </c>
      <c r="I229">
        <v>999</v>
      </c>
      <c r="J229">
        <v>1998</v>
      </c>
      <c r="K229" t="s">
        <v>78</v>
      </c>
      <c r="L229" t="s">
        <v>1409</v>
      </c>
      <c r="M229" t="s">
        <v>1411</v>
      </c>
    </row>
    <row r="230" spans="1:13">
      <c r="A230" t="s">
        <v>556</v>
      </c>
      <c r="B230" s="6">
        <v>46133</v>
      </c>
      <c r="C230" t="s">
        <v>557</v>
      </c>
      <c r="D230" t="s">
        <v>558</v>
      </c>
      <c r="E230" t="s">
        <v>30</v>
      </c>
      <c r="F230" t="s">
        <v>36</v>
      </c>
      <c r="G230" t="s">
        <v>141</v>
      </c>
      <c r="H230">
        <v>2</v>
      </c>
      <c r="I230">
        <v>999</v>
      </c>
      <c r="J230">
        <v>1998</v>
      </c>
      <c r="K230" t="s">
        <v>17</v>
      </c>
      <c r="L230" t="s">
        <v>1409</v>
      </c>
      <c r="M230" t="s">
        <v>1411</v>
      </c>
    </row>
    <row r="231" spans="1:13">
      <c r="A231" t="s">
        <v>559</v>
      </c>
      <c r="B231" s="6">
        <v>46030</v>
      </c>
      <c r="C231" t="s">
        <v>560</v>
      </c>
      <c r="D231" t="s">
        <v>561</v>
      </c>
      <c r="E231" t="s">
        <v>73</v>
      </c>
      <c r="F231" t="s">
        <v>47</v>
      </c>
      <c r="G231" t="s">
        <v>56</v>
      </c>
      <c r="H231">
        <v>2</v>
      </c>
      <c r="I231">
        <v>3499</v>
      </c>
      <c r="J231">
        <v>6998</v>
      </c>
      <c r="K231" t="s">
        <v>17</v>
      </c>
      <c r="L231" t="s">
        <v>1409</v>
      </c>
      <c r="M231" t="s">
        <v>1413</v>
      </c>
    </row>
    <row r="232" spans="1:13">
      <c r="A232" t="s">
        <v>562</v>
      </c>
      <c r="B232" s="6">
        <v>46124</v>
      </c>
      <c r="C232" t="s">
        <v>425</v>
      </c>
      <c r="D232" t="s">
        <v>426</v>
      </c>
      <c r="E232" t="s">
        <v>14</v>
      </c>
      <c r="F232" t="s">
        <v>25</v>
      </c>
      <c r="G232" t="s">
        <v>31</v>
      </c>
      <c r="H232">
        <v>1</v>
      </c>
      <c r="I232">
        <v>1799</v>
      </c>
      <c r="J232">
        <v>1799</v>
      </c>
      <c r="K232" t="s">
        <v>17</v>
      </c>
      <c r="L232" t="s">
        <v>1409</v>
      </c>
      <c r="M232" t="s">
        <v>1411</v>
      </c>
    </row>
    <row r="233" spans="1:13">
      <c r="A233" t="s">
        <v>563</v>
      </c>
      <c r="B233" s="6">
        <v>46169</v>
      </c>
      <c r="C233" t="s">
        <v>480</v>
      </c>
      <c r="D233" t="s">
        <v>481</v>
      </c>
      <c r="E233" t="s">
        <v>21</v>
      </c>
      <c r="F233" t="s">
        <v>47</v>
      </c>
      <c r="G233" t="s">
        <v>48</v>
      </c>
      <c r="H233">
        <v>2</v>
      </c>
      <c r="I233">
        <v>499</v>
      </c>
      <c r="J233">
        <v>998</v>
      </c>
      <c r="K233" t="s">
        <v>17</v>
      </c>
      <c r="L233" t="s">
        <v>1409</v>
      </c>
      <c r="M233" t="s">
        <v>1415</v>
      </c>
    </row>
    <row r="234" spans="1:13">
      <c r="A234" t="s">
        <v>564</v>
      </c>
      <c r="B234" s="6">
        <v>46035</v>
      </c>
      <c r="C234" t="s">
        <v>565</v>
      </c>
      <c r="D234" t="s">
        <v>566</v>
      </c>
      <c r="E234" t="s">
        <v>21</v>
      </c>
      <c r="F234" t="s">
        <v>15</v>
      </c>
      <c r="G234" t="s">
        <v>162</v>
      </c>
      <c r="H234">
        <v>1</v>
      </c>
      <c r="I234">
        <v>1599</v>
      </c>
      <c r="J234">
        <v>1599</v>
      </c>
      <c r="K234" t="s">
        <v>17</v>
      </c>
      <c r="L234" t="s">
        <v>1409</v>
      </c>
      <c r="M234" t="s">
        <v>1413</v>
      </c>
    </row>
    <row r="235" spans="1:13">
      <c r="A235" t="s">
        <v>567</v>
      </c>
      <c r="B235" s="6">
        <v>46138</v>
      </c>
      <c r="C235" t="s">
        <v>499</v>
      </c>
      <c r="D235" t="s">
        <v>59</v>
      </c>
      <c r="E235" t="s">
        <v>21</v>
      </c>
      <c r="F235" t="s">
        <v>47</v>
      </c>
      <c r="G235" t="s">
        <v>100</v>
      </c>
      <c r="H235">
        <v>1</v>
      </c>
      <c r="I235">
        <v>2799</v>
      </c>
      <c r="J235">
        <v>2799</v>
      </c>
      <c r="K235" t="s">
        <v>17</v>
      </c>
      <c r="L235" t="s">
        <v>1409</v>
      </c>
      <c r="M235" t="s">
        <v>1411</v>
      </c>
    </row>
    <row r="236" spans="1:13">
      <c r="A236" t="s">
        <v>569</v>
      </c>
      <c r="B236" s="6">
        <v>46140</v>
      </c>
      <c r="C236" t="s">
        <v>113</v>
      </c>
      <c r="D236" t="s">
        <v>114</v>
      </c>
      <c r="E236" t="s">
        <v>14</v>
      </c>
      <c r="F236" t="s">
        <v>25</v>
      </c>
      <c r="G236" t="s">
        <v>26</v>
      </c>
      <c r="H236">
        <v>1</v>
      </c>
      <c r="I236">
        <v>1299</v>
      </c>
      <c r="J236">
        <v>1299</v>
      </c>
      <c r="K236" t="s">
        <v>17</v>
      </c>
      <c r="L236" t="s">
        <v>1409</v>
      </c>
      <c r="M236" t="s">
        <v>1411</v>
      </c>
    </row>
    <row r="237" spans="1:13">
      <c r="A237" t="s">
        <v>570</v>
      </c>
      <c r="B237" s="6">
        <v>46110</v>
      </c>
      <c r="C237" t="s">
        <v>470</v>
      </c>
      <c r="D237" t="s">
        <v>471</v>
      </c>
      <c r="E237" t="s">
        <v>217</v>
      </c>
      <c r="F237" t="s">
        <v>22</v>
      </c>
      <c r="G237" t="s">
        <v>43</v>
      </c>
      <c r="H237">
        <v>1</v>
      </c>
      <c r="I237">
        <v>1499</v>
      </c>
      <c r="J237">
        <v>1499</v>
      </c>
      <c r="K237" t="s">
        <v>17</v>
      </c>
      <c r="L237" t="s">
        <v>1409</v>
      </c>
      <c r="M237" t="s">
        <v>1412</v>
      </c>
    </row>
    <row r="238" spans="1:13">
      <c r="A238" t="s">
        <v>571</v>
      </c>
      <c r="B238" s="6">
        <v>46203</v>
      </c>
      <c r="C238" t="s">
        <v>158</v>
      </c>
      <c r="D238" t="s">
        <v>144</v>
      </c>
      <c r="E238" t="s">
        <v>104</v>
      </c>
      <c r="F238" t="s">
        <v>25</v>
      </c>
      <c r="G238" t="s">
        <v>26</v>
      </c>
      <c r="H238">
        <v>2</v>
      </c>
      <c r="I238">
        <v>1299</v>
      </c>
      <c r="J238">
        <v>2598</v>
      </c>
      <c r="K238" t="s">
        <v>17</v>
      </c>
      <c r="L238" t="s">
        <v>1409</v>
      </c>
      <c r="M238" t="s">
        <v>1414</v>
      </c>
    </row>
    <row r="239" spans="1:13">
      <c r="A239" t="s">
        <v>572</v>
      </c>
      <c r="B239" s="6">
        <v>46087</v>
      </c>
      <c r="C239" t="s">
        <v>419</v>
      </c>
      <c r="D239" t="s">
        <v>420</v>
      </c>
      <c r="E239" t="s">
        <v>64</v>
      </c>
      <c r="F239" t="s">
        <v>47</v>
      </c>
      <c r="G239" t="s">
        <v>128</v>
      </c>
      <c r="H239">
        <v>2</v>
      </c>
      <c r="I239">
        <v>1199</v>
      </c>
      <c r="J239">
        <v>2398</v>
      </c>
      <c r="K239" t="s">
        <v>17</v>
      </c>
      <c r="L239" t="s">
        <v>1409</v>
      </c>
      <c r="M239" t="s">
        <v>1412</v>
      </c>
    </row>
    <row r="240" spans="1:13">
      <c r="A240" t="s">
        <v>573</v>
      </c>
      <c r="B240" s="6">
        <v>46053</v>
      </c>
      <c r="C240" t="s">
        <v>574</v>
      </c>
      <c r="D240" t="s">
        <v>41</v>
      </c>
      <c r="E240" t="s">
        <v>104</v>
      </c>
      <c r="F240" t="s">
        <v>25</v>
      </c>
      <c r="G240" t="s">
        <v>115</v>
      </c>
      <c r="H240">
        <v>3</v>
      </c>
      <c r="I240">
        <v>3999</v>
      </c>
      <c r="J240">
        <v>11997</v>
      </c>
      <c r="K240" t="s">
        <v>17</v>
      </c>
      <c r="L240" t="s">
        <v>1409</v>
      </c>
      <c r="M240" t="s">
        <v>1413</v>
      </c>
    </row>
    <row r="241" spans="1:13">
      <c r="A241" t="s">
        <v>575</v>
      </c>
      <c r="B241" s="6">
        <v>46162</v>
      </c>
      <c r="C241" t="s">
        <v>386</v>
      </c>
      <c r="D241" t="s">
        <v>190</v>
      </c>
      <c r="E241" t="s">
        <v>217</v>
      </c>
      <c r="F241" t="s">
        <v>15</v>
      </c>
      <c r="G241" t="s">
        <v>162</v>
      </c>
      <c r="H241">
        <v>2</v>
      </c>
      <c r="I241">
        <v>1599</v>
      </c>
      <c r="J241">
        <v>3198</v>
      </c>
      <c r="K241" t="s">
        <v>17</v>
      </c>
      <c r="L241" t="s">
        <v>1409</v>
      </c>
      <c r="M241" t="s">
        <v>1415</v>
      </c>
    </row>
    <row r="242" spans="1:13">
      <c r="A242" t="s">
        <v>576</v>
      </c>
      <c r="B242" s="6">
        <v>46062</v>
      </c>
      <c r="C242" t="s">
        <v>577</v>
      </c>
      <c r="D242" t="s">
        <v>269</v>
      </c>
      <c r="E242" t="s">
        <v>104</v>
      </c>
      <c r="F242" t="s">
        <v>47</v>
      </c>
      <c r="G242" t="s">
        <v>56</v>
      </c>
      <c r="H242">
        <v>2</v>
      </c>
      <c r="I242">
        <v>3499</v>
      </c>
      <c r="J242">
        <v>6998</v>
      </c>
      <c r="K242" t="s">
        <v>17</v>
      </c>
      <c r="L242" t="s">
        <v>1409</v>
      </c>
      <c r="M242" t="s">
        <v>1410</v>
      </c>
    </row>
    <row r="243" spans="1:13">
      <c r="A243" t="s">
        <v>579</v>
      </c>
      <c r="B243" s="6">
        <v>46203</v>
      </c>
      <c r="C243" t="s">
        <v>183</v>
      </c>
      <c r="D243" t="s">
        <v>184</v>
      </c>
      <c r="E243" t="s">
        <v>21</v>
      </c>
      <c r="F243" t="s">
        <v>47</v>
      </c>
      <c r="G243" t="s">
        <v>56</v>
      </c>
      <c r="H243">
        <v>1</v>
      </c>
      <c r="I243">
        <v>3499</v>
      </c>
      <c r="J243">
        <v>3499</v>
      </c>
      <c r="K243" t="s">
        <v>17</v>
      </c>
      <c r="L243" t="s">
        <v>1409</v>
      </c>
      <c r="M243" t="s">
        <v>1414</v>
      </c>
    </row>
    <row r="244" spans="1:13">
      <c r="A244" t="s">
        <v>580</v>
      </c>
      <c r="B244" s="6">
        <v>46195</v>
      </c>
      <c r="C244" t="s">
        <v>110</v>
      </c>
      <c r="D244" t="s">
        <v>111</v>
      </c>
      <c r="E244" t="s">
        <v>30</v>
      </c>
      <c r="F244" t="s">
        <v>36</v>
      </c>
      <c r="G244" t="s">
        <v>151</v>
      </c>
      <c r="H244">
        <v>3</v>
      </c>
      <c r="I244">
        <v>799</v>
      </c>
      <c r="J244">
        <v>2397</v>
      </c>
      <c r="K244" t="s">
        <v>17</v>
      </c>
      <c r="L244" t="s">
        <v>1409</v>
      </c>
      <c r="M244" t="s">
        <v>1414</v>
      </c>
    </row>
    <row r="245" spans="1:13">
      <c r="A245" t="s">
        <v>581</v>
      </c>
      <c r="B245" s="6">
        <v>46162</v>
      </c>
      <c r="C245" t="s">
        <v>285</v>
      </c>
      <c r="D245" t="s">
        <v>566</v>
      </c>
      <c r="E245" t="s">
        <v>73</v>
      </c>
      <c r="F245" t="s">
        <v>47</v>
      </c>
      <c r="G245" t="s">
        <v>128</v>
      </c>
      <c r="H245">
        <v>1</v>
      </c>
      <c r="I245">
        <v>1199</v>
      </c>
      <c r="J245">
        <v>1199</v>
      </c>
      <c r="K245" t="s">
        <v>17</v>
      </c>
      <c r="L245" t="s">
        <v>1409</v>
      </c>
      <c r="M245" t="s">
        <v>1415</v>
      </c>
    </row>
    <row r="246" spans="1:13">
      <c r="A246" t="s">
        <v>582</v>
      </c>
      <c r="B246" s="6">
        <v>46106</v>
      </c>
      <c r="C246" t="s">
        <v>583</v>
      </c>
      <c r="D246" t="s">
        <v>131</v>
      </c>
      <c r="E246" t="s">
        <v>21</v>
      </c>
      <c r="F246" t="s">
        <v>36</v>
      </c>
      <c r="G246" t="s">
        <v>141</v>
      </c>
      <c r="H246">
        <v>1</v>
      </c>
      <c r="I246">
        <v>999</v>
      </c>
      <c r="J246">
        <v>999</v>
      </c>
      <c r="K246" t="s">
        <v>17</v>
      </c>
      <c r="L246" t="s">
        <v>1409</v>
      </c>
      <c r="M246" t="s">
        <v>1412</v>
      </c>
    </row>
    <row r="247" spans="1:13">
      <c r="A247" t="s">
        <v>584</v>
      </c>
      <c r="B247" s="6">
        <v>46036</v>
      </c>
      <c r="C247" t="s">
        <v>585</v>
      </c>
      <c r="D247" t="s">
        <v>313</v>
      </c>
      <c r="E247" t="s">
        <v>30</v>
      </c>
      <c r="F247" t="s">
        <v>36</v>
      </c>
      <c r="G247" t="s">
        <v>151</v>
      </c>
      <c r="H247">
        <v>1</v>
      </c>
      <c r="I247">
        <v>799</v>
      </c>
      <c r="J247">
        <v>799</v>
      </c>
      <c r="K247" t="s">
        <v>17</v>
      </c>
      <c r="L247" t="s">
        <v>1409</v>
      </c>
      <c r="M247" t="s">
        <v>1413</v>
      </c>
    </row>
    <row r="248" spans="1:13">
      <c r="A248" t="s">
        <v>586</v>
      </c>
      <c r="B248" s="6">
        <v>46160</v>
      </c>
      <c r="C248" t="s">
        <v>136</v>
      </c>
      <c r="D248" t="s">
        <v>137</v>
      </c>
      <c r="E248" t="s">
        <v>21</v>
      </c>
      <c r="F248" t="s">
        <v>47</v>
      </c>
      <c r="G248" t="s">
        <v>48</v>
      </c>
      <c r="H248">
        <v>1</v>
      </c>
      <c r="I248">
        <v>499</v>
      </c>
      <c r="J248">
        <v>499</v>
      </c>
      <c r="K248" t="s">
        <v>17</v>
      </c>
      <c r="L248" t="s">
        <v>1409</v>
      </c>
      <c r="M248" t="s">
        <v>1415</v>
      </c>
    </row>
    <row r="249" spans="1:13">
      <c r="A249" t="s">
        <v>587</v>
      </c>
      <c r="B249" s="6">
        <v>46131</v>
      </c>
      <c r="C249" t="s">
        <v>480</v>
      </c>
      <c r="D249" t="s">
        <v>481</v>
      </c>
      <c r="E249" t="s">
        <v>21</v>
      </c>
      <c r="F249" t="s">
        <v>36</v>
      </c>
      <c r="G249" t="s">
        <v>37</v>
      </c>
      <c r="H249">
        <v>2</v>
      </c>
      <c r="I249">
        <v>2299</v>
      </c>
      <c r="J249">
        <v>4598</v>
      </c>
      <c r="K249" t="s">
        <v>17</v>
      </c>
      <c r="L249" t="s">
        <v>1409</v>
      </c>
      <c r="M249" t="s">
        <v>1411</v>
      </c>
    </row>
    <row r="250" spans="1:13">
      <c r="A250" t="s">
        <v>588</v>
      </c>
      <c r="B250" s="6">
        <v>46063</v>
      </c>
      <c r="C250" t="s">
        <v>589</v>
      </c>
      <c r="D250" t="s">
        <v>590</v>
      </c>
      <c r="E250" t="s">
        <v>21</v>
      </c>
      <c r="F250" t="s">
        <v>25</v>
      </c>
      <c r="G250" t="s">
        <v>26</v>
      </c>
      <c r="H250">
        <v>1</v>
      </c>
      <c r="I250">
        <v>1299</v>
      </c>
      <c r="J250">
        <v>1299</v>
      </c>
      <c r="K250" t="s">
        <v>17</v>
      </c>
      <c r="L250" t="s">
        <v>1409</v>
      </c>
      <c r="M250" t="s">
        <v>1410</v>
      </c>
    </row>
    <row r="251" spans="1:13">
      <c r="A251" t="s">
        <v>591</v>
      </c>
      <c r="B251" s="6">
        <v>46129</v>
      </c>
      <c r="C251" t="s">
        <v>592</v>
      </c>
      <c r="D251" t="s">
        <v>593</v>
      </c>
      <c r="E251" t="s">
        <v>64</v>
      </c>
      <c r="F251" t="s">
        <v>47</v>
      </c>
      <c r="G251" t="s">
        <v>128</v>
      </c>
      <c r="H251">
        <v>1</v>
      </c>
      <c r="I251">
        <v>1199</v>
      </c>
      <c r="J251">
        <v>1199</v>
      </c>
      <c r="K251" t="s">
        <v>17</v>
      </c>
      <c r="L251" t="s">
        <v>1409</v>
      </c>
      <c r="M251" t="s">
        <v>1411</v>
      </c>
    </row>
    <row r="252" spans="1:13">
      <c r="A252" t="s">
        <v>594</v>
      </c>
      <c r="B252" s="6">
        <v>46189</v>
      </c>
      <c r="C252" t="s">
        <v>288</v>
      </c>
      <c r="D252" t="s">
        <v>289</v>
      </c>
      <c r="E252" t="s">
        <v>14</v>
      </c>
      <c r="F252" t="s">
        <v>15</v>
      </c>
      <c r="G252" t="s">
        <v>162</v>
      </c>
      <c r="H252">
        <v>2</v>
      </c>
      <c r="I252">
        <v>1599</v>
      </c>
      <c r="J252">
        <v>3198</v>
      </c>
      <c r="K252" t="s">
        <v>17</v>
      </c>
      <c r="L252" t="s">
        <v>1409</v>
      </c>
      <c r="M252" t="s">
        <v>1414</v>
      </c>
    </row>
    <row r="253" spans="1:13">
      <c r="A253" t="s">
        <v>596</v>
      </c>
      <c r="B253" s="6">
        <v>46116</v>
      </c>
      <c r="C253" t="s">
        <v>345</v>
      </c>
      <c r="D253" t="s">
        <v>346</v>
      </c>
      <c r="E253" t="s">
        <v>217</v>
      </c>
      <c r="F253" t="s">
        <v>25</v>
      </c>
      <c r="G253" t="s">
        <v>115</v>
      </c>
      <c r="H253">
        <v>2</v>
      </c>
      <c r="I253">
        <v>3999</v>
      </c>
      <c r="J253">
        <v>7998</v>
      </c>
      <c r="K253" t="s">
        <v>17</v>
      </c>
      <c r="L253" t="s">
        <v>1409</v>
      </c>
      <c r="M253" t="s">
        <v>1411</v>
      </c>
    </row>
    <row r="254" spans="1:13">
      <c r="A254" t="s">
        <v>597</v>
      </c>
      <c r="B254" s="6">
        <v>46030</v>
      </c>
      <c r="C254" t="s">
        <v>125</v>
      </c>
      <c r="D254" t="s">
        <v>126</v>
      </c>
      <c r="E254" t="s">
        <v>104</v>
      </c>
      <c r="F254" t="s">
        <v>15</v>
      </c>
      <c r="G254" t="s">
        <v>52</v>
      </c>
      <c r="H254">
        <v>1</v>
      </c>
      <c r="I254">
        <v>899</v>
      </c>
      <c r="J254">
        <v>899</v>
      </c>
      <c r="K254" t="s">
        <v>78</v>
      </c>
      <c r="L254" t="s">
        <v>1409</v>
      </c>
      <c r="M254" t="s">
        <v>1413</v>
      </c>
    </row>
    <row r="255" spans="1:13">
      <c r="A255" t="s">
        <v>598</v>
      </c>
      <c r="B255" s="6">
        <v>46023</v>
      </c>
      <c r="C255" t="s">
        <v>557</v>
      </c>
      <c r="D255" t="s">
        <v>558</v>
      </c>
      <c r="E255" t="s">
        <v>30</v>
      </c>
      <c r="F255" t="s">
        <v>15</v>
      </c>
      <c r="G255" t="s">
        <v>162</v>
      </c>
      <c r="H255">
        <v>2</v>
      </c>
      <c r="I255">
        <v>1599</v>
      </c>
      <c r="J255">
        <v>3198</v>
      </c>
      <c r="K255" t="s">
        <v>17</v>
      </c>
      <c r="L255" t="s">
        <v>1409</v>
      </c>
      <c r="M255" t="s">
        <v>1413</v>
      </c>
    </row>
    <row r="256" spans="1:13">
      <c r="A256" t="s">
        <v>599</v>
      </c>
      <c r="B256" s="6">
        <v>46144</v>
      </c>
      <c r="C256" t="s">
        <v>12</v>
      </c>
      <c r="D256" t="s">
        <v>13</v>
      </c>
      <c r="E256" t="s">
        <v>14</v>
      </c>
      <c r="F256" t="s">
        <v>22</v>
      </c>
      <c r="G256" t="s">
        <v>43</v>
      </c>
      <c r="H256">
        <v>2</v>
      </c>
      <c r="I256">
        <v>1499</v>
      </c>
      <c r="J256">
        <v>2998</v>
      </c>
      <c r="K256" t="s">
        <v>17</v>
      </c>
      <c r="L256" t="s">
        <v>1409</v>
      </c>
      <c r="M256" t="s">
        <v>1415</v>
      </c>
    </row>
    <row r="257" spans="1:13">
      <c r="A257" t="s">
        <v>600</v>
      </c>
      <c r="B257" s="6">
        <v>46068</v>
      </c>
      <c r="C257" t="s">
        <v>454</v>
      </c>
      <c r="D257" t="s">
        <v>227</v>
      </c>
      <c r="E257" t="s">
        <v>64</v>
      </c>
      <c r="F257" t="s">
        <v>36</v>
      </c>
      <c r="G257" t="s">
        <v>141</v>
      </c>
      <c r="H257">
        <v>1</v>
      </c>
      <c r="I257">
        <v>999</v>
      </c>
      <c r="J257">
        <v>999</v>
      </c>
      <c r="K257" t="s">
        <v>17</v>
      </c>
      <c r="L257" t="s">
        <v>1409</v>
      </c>
      <c r="M257" t="s">
        <v>1410</v>
      </c>
    </row>
    <row r="258" spans="1:13">
      <c r="A258" t="s">
        <v>601</v>
      </c>
      <c r="B258" s="6">
        <v>46154</v>
      </c>
      <c r="C258" t="s">
        <v>172</v>
      </c>
      <c r="D258" t="s">
        <v>173</v>
      </c>
      <c r="E258" t="s">
        <v>30</v>
      </c>
      <c r="F258" t="s">
        <v>15</v>
      </c>
      <c r="G258" t="s">
        <v>16</v>
      </c>
      <c r="H258">
        <v>1</v>
      </c>
      <c r="I258">
        <v>1999</v>
      </c>
      <c r="J258">
        <v>1999</v>
      </c>
      <c r="K258" t="s">
        <v>17</v>
      </c>
      <c r="L258" t="s">
        <v>1409</v>
      </c>
      <c r="M258" t="s">
        <v>1415</v>
      </c>
    </row>
    <row r="259" spans="1:13">
      <c r="A259" t="s">
        <v>602</v>
      </c>
      <c r="B259" s="6">
        <v>46195</v>
      </c>
      <c r="C259" t="s">
        <v>113</v>
      </c>
      <c r="D259" t="s">
        <v>114</v>
      </c>
      <c r="E259" t="s">
        <v>14</v>
      </c>
      <c r="F259" t="s">
        <v>22</v>
      </c>
      <c r="G259" t="s">
        <v>23</v>
      </c>
      <c r="H259">
        <v>1</v>
      </c>
      <c r="I259">
        <v>3299</v>
      </c>
      <c r="J259">
        <v>3299</v>
      </c>
      <c r="K259" t="s">
        <v>17</v>
      </c>
      <c r="L259" t="s">
        <v>1409</v>
      </c>
      <c r="M259" t="s">
        <v>1414</v>
      </c>
    </row>
    <row r="260" spans="1:13">
      <c r="A260" t="s">
        <v>603</v>
      </c>
      <c r="B260" s="6">
        <v>46198</v>
      </c>
      <c r="C260" t="s">
        <v>295</v>
      </c>
      <c r="D260" t="s">
        <v>296</v>
      </c>
      <c r="E260" t="s">
        <v>30</v>
      </c>
      <c r="F260" t="s">
        <v>15</v>
      </c>
      <c r="G260" t="s">
        <v>16</v>
      </c>
      <c r="H260">
        <v>1</v>
      </c>
      <c r="I260">
        <v>1999</v>
      </c>
      <c r="J260">
        <v>1999</v>
      </c>
      <c r="K260" t="s">
        <v>17</v>
      </c>
      <c r="L260" t="s">
        <v>1409</v>
      </c>
      <c r="M260" t="s">
        <v>1414</v>
      </c>
    </row>
    <row r="261" spans="1:13">
      <c r="A261" t="s">
        <v>604</v>
      </c>
      <c r="B261" s="6">
        <v>46184</v>
      </c>
      <c r="C261" t="s">
        <v>585</v>
      </c>
      <c r="D261" t="s">
        <v>313</v>
      </c>
      <c r="E261" t="s">
        <v>30</v>
      </c>
      <c r="F261" t="s">
        <v>22</v>
      </c>
      <c r="G261" t="s">
        <v>23</v>
      </c>
      <c r="H261">
        <v>1</v>
      </c>
      <c r="I261">
        <v>3299</v>
      </c>
      <c r="J261">
        <v>3299</v>
      </c>
      <c r="K261" t="s">
        <v>17</v>
      </c>
      <c r="L261" t="s">
        <v>1409</v>
      </c>
      <c r="M261" t="s">
        <v>1414</v>
      </c>
    </row>
    <row r="262" spans="1:13">
      <c r="A262" t="s">
        <v>605</v>
      </c>
      <c r="B262" s="6">
        <v>46040</v>
      </c>
      <c r="C262" t="s">
        <v>589</v>
      </c>
      <c r="D262" t="s">
        <v>590</v>
      </c>
      <c r="E262" t="s">
        <v>21</v>
      </c>
      <c r="F262" t="s">
        <v>15</v>
      </c>
      <c r="G262" t="s">
        <v>16</v>
      </c>
      <c r="H262">
        <v>2</v>
      </c>
      <c r="I262">
        <v>1999</v>
      </c>
      <c r="J262">
        <v>3998</v>
      </c>
      <c r="K262" t="s">
        <v>17</v>
      </c>
      <c r="L262" t="s">
        <v>1409</v>
      </c>
      <c r="M262" t="s">
        <v>1413</v>
      </c>
    </row>
    <row r="263" spans="1:13">
      <c r="A263" t="s">
        <v>606</v>
      </c>
      <c r="B263" s="6">
        <v>46139</v>
      </c>
      <c r="C263" t="s">
        <v>366</v>
      </c>
      <c r="D263" t="s">
        <v>367</v>
      </c>
      <c r="E263" t="s">
        <v>30</v>
      </c>
      <c r="F263" t="s">
        <v>15</v>
      </c>
      <c r="G263" t="s">
        <v>52</v>
      </c>
      <c r="H263">
        <v>1</v>
      </c>
      <c r="I263">
        <v>899</v>
      </c>
      <c r="J263">
        <v>899</v>
      </c>
      <c r="K263" t="s">
        <v>17</v>
      </c>
      <c r="L263" t="s">
        <v>1409</v>
      </c>
      <c r="M263" t="s">
        <v>1411</v>
      </c>
    </row>
    <row r="264" spans="1:13">
      <c r="A264" t="s">
        <v>607</v>
      </c>
      <c r="B264" s="6">
        <v>46162</v>
      </c>
      <c r="C264" t="s">
        <v>133</v>
      </c>
      <c r="D264" t="s">
        <v>134</v>
      </c>
      <c r="E264" t="s">
        <v>104</v>
      </c>
      <c r="F264" t="s">
        <v>47</v>
      </c>
      <c r="G264" t="s">
        <v>48</v>
      </c>
      <c r="H264">
        <v>3</v>
      </c>
      <c r="I264">
        <v>499</v>
      </c>
      <c r="J264">
        <v>1497</v>
      </c>
      <c r="K264" t="s">
        <v>17</v>
      </c>
      <c r="L264" t="s">
        <v>1409</v>
      </c>
      <c r="M264" t="s">
        <v>1415</v>
      </c>
    </row>
    <row r="265" spans="1:13">
      <c r="A265" t="s">
        <v>608</v>
      </c>
      <c r="B265" s="6">
        <v>46162</v>
      </c>
      <c r="C265" t="s">
        <v>244</v>
      </c>
      <c r="D265" t="s">
        <v>245</v>
      </c>
      <c r="E265" t="s">
        <v>21</v>
      </c>
      <c r="F265" t="s">
        <v>36</v>
      </c>
      <c r="G265" t="s">
        <v>151</v>
      </c>
      <c r="H265">
        <v>1</v>
      </c>
      <c r="I265">
        <v>799</v>
      </c>
      <c r="J265">
        <v>799</v>
      </c>
      <c r="K265" t="s">
        <v>17</v>
      </c>
      <c r="L265" t="s">
        <v>1409</v>
      </c>
      <c r="M265" t="s">
        <v>1415</v>
      </c>
    </row>
    <row r="266" spans="1:13">
      <c r="A266" t="s">
        <v>609</v>
      </c>
      <c r="B266" s="6">
        <v>46155</v>
      </c>
      <c r="C266" t="s">
        <v>98</v>
      </c>
      <c r="D266" t="s">
        <v>99</v>
      </c>
      <c r="E266" t="s">
        <v>64</v>
      </c>
      <c r="F266" t="s">
        <v>15</v>
      </c>
      <c r="G266" t="s">
        <v>16</v>
      </c>
      <c r="H266">
        <v>1</v>
      </c>
      <c r="I266">
        <v>1999</v>
      </c>
      <c r="J266">
        <v>1999</v>
      </c>
      <c r="K266" t="s">
        <v>17</v>
      </c>
      <c r="L266" t="s">
        <v>1409</v>
      </c>
      <c r="M266" t="s">
        <v>1415</v>
      </c>
    </row>
    <row r="267" spans="1:13">
      <c r="A267" t="s">
        <v>610</v>
      </c>
      <c r="B267" s="6">
        <v>46113</v>
      </c>
      <c r="C267" t="s">
        <v>304</v>
      </c>
      <c r="D267" t="s">
        <v>305</v>
      </c>
      <c r="E267" t="s">
        <v>1417</v>
      </c>
      <c r="F267" t="s">
        <v>15</v>
      </c>
      <c r="G267" t="s">
        <v>52</v>
      </c>
      <c r="H267">
        <v>1</v>
      </c>
      <c r="I267">
        <v>899</v>
      </c>
      <c r="J267">
        <v>899</v>
      </c>
      <c r="K267" t="s">
        <v>78</v>
      </c>
      <c r="L267" t="s">
        <v>1409</v>
      </c>
      <c r="M267" t="s">
        <v>1411</v>
      </c>
    </row>
    <row r="268" spans="1:13">
      <c r="A268" t="s">
        <v>611</v>
      </c>
      <c r="B268" s="6">
        <v>46058</v>
      </c>
      <c r="C268" t="s">
        <v>612</v>
      </c>
      <c r="D268" t="s">
        <v>242</v>
      </c>
      <c r="E268" t="s">
        <v>64</v>
      </c>
      <c r="F268" t="s">
        <v>47</v>
      </c>
      <c r="G268" t="s">
        <v>48</v>
      </c>
      <c r="H268">
        <v>1</v>
      </c>
      <c r="I268">
        <v>499</v>
      </c>
      <c r="J268">
        <v>499</v>
      </c>
      <c r="K268" t="s">
        <v>17</v>
      </c>
      <c r="L268" t="s">
        <v>1409</v>
      </c>
      <c r="M268" t="s">
        <v>1410</v>
      </c>
    </row>
    <row r="269" spans="1:13">
      <c r="A269" t="s">
        <v>613</v>
      </c>
      <c r="B269" s="6">
        <v>46094</v>
      </c>
      <c r="C269" t="s">
        <v>125</v>
      </c>
      <c r="D269" t="s">
        <v>126</v>
      </c>
      <c r="E269" t="s">
        <v>104</v>
      </c>
      <c r="F269" t="s">
        <v>15</v>
      </c>
      <c r="G269" t="s">
        <v>162</v>
      </c>
      <c r="H269">
        <v>1</v>
      </c>
      <c r="I269">
        <v>1599</v>
      </c>
      <c r="J269">
        <v>1599</v>
      </c>
      <c r="K269" t="s">
        <v>78</v>
      </c>
      <c r="L269" t="s">
        <v>1409</v>
      </c>
      <c r="M269" t="s">
        <v>1412</v>
      </c>
    </row>
    <row r="270" spans="1:13">
      <c r="A270" t="s">
        <v>615</v>
      </c>
      <c r="B270" s="6">
        <v>46086</v>
      </c>
      <c r="C270" t="s">
        <v>342</v>
      </c>
      <c r="D270" t="s">
        <v>177</v>
      </c>
      <c r="E270" t="s">
        <v>104</v>
      </c>
      <c r="F270" t="s">
        <v>47</v>
      </c>
      <c r="G270" t="s">
        <v>48</v>
      </c>
      <c r="H270">
        <v>1</v>
      </c>
      <c r="I270">
        <v>499</v>
      </c>
      <c r="J270">
        <v>499</v>
      </c>
      <c r="K270" t="s">
        <v>17</v>
      </c>
      <c r="L270" t="s">
        <v>1409</v>
      </c>
      <c r="M270" t="s">
        <v>1412</v>
      </c>
    </row>
    <row r="271" spans="1:13">
      <c r="A271" t="s">
        <v>616</v>
      </c>
      <c r="B271" s="6">
        <v>46113</v>
      </c>
      <c r="C271" t="s">
        <v>499</v>
      </c>
      <c r="D271" t="s">
        <v>59</v>
      </c>
      <c r="E271" t="s">
        <v>1417</v>
      </c>
      <c r="F271" t="s">
        <v>15</v>
      </c>
      <c r="G271" t="s">
        <v>16</v>
      </c>
      <c r="H271">
        <v>1</v>
      </c>
      <c r="I271">
        <v>1999</v>
      </c>
      <c r="J271">
        <v>1999</v>
      </c>
      <c r="K271" t="s">
        <v>17</v>
      </c>
      <c r="L271" t="s">
        <v>1409</v>
      </c>
      <c r="M271" t="s">
        <v>1411</v>
      </c>
    </row>
    <row r="272" spans="1:13">
      <c r="A272" t="s">
        <v>618</v>
      </c>
      <c r="B272" s="6">
        <v>46064</v>
      </c>
      <c r="C272" t="s">
        <v>366</v>
      </c>
      <c r="D272" t="s">
        <v>367</v>
      </c>
      <c r="E272" t="s">
        <v>30</v>
      </c>
      <c r="F272" t="s">
        <v>22</v>
      </c>
      <c r="G272" t="s">
        <v>43</v>
      </c>
      <c r="H272">
        <v>1</v>
      </c>
      <c r="I272">
        <v>1499</v>
      </c>
      <c r="J272">
        <v>1499</v>
      </c>
      <c r="K272" t="s">
        <v>17</v>
      </c>
      <c r="L272" t="s">
        <v>1409</v>
      </c>
      <c r="M272" t="s">
        <v>1410</v>
      </c>
    </row>
    <row r="273" spans="1:13">
      <c r="A273" t="s">
        <v>619</v>
      </c>
      <c r="B273" s="6">
        <v>46196</v>
      </c>
      <c r="C273" t="s">
        <v>507</v>
      </c>
      <c r="D273" t="s">
        <v>508</v>
      </c>
      <c r="E273" t="s">
        <v>30</v>
      </c>
      <c r="F273" t="s">
        <v>15</v>
      </c>
      <c r="G273" t="s">
        <v>52</v>
      </c>
      <c r="H273">
        <v>1</v>
      </c>
      <c r="I273">
        <v>899</v>
      </c>
      <c r="J273">
        <v>899</v>
      </c>
      <c r="K273" t="s">
        <v>17</v>
      </c>
      <c r="L273" t="s">
        <v>1409</v>
      </c>
      <c r="M273" t="s">
        <v>1414</v>
      </c>
    </row>
    <row r="274" spans="1:13">
      <c r="A274" t="s">
        <v>620</v>
      </c>
      <c r="B274" s="6">
        <v>46190</v>
      </c>
      <c r="C274" t="s">
        <v>369</v>
      </c>
      <c r="D274" t="s">
        <v>370</v>
      </c>
      <c r="E274" t="s">
        <v>89</v>
      </c>
      <c r="F274" t="s">
        <v>15</v>
      </c>
      <c r="G274" t="s">
        <v>162</v>
      </c>
      <c r="H274">
        <v>2</v>
      </c>
      <c r="I274">
        <v>1599</v>
      </c>
      <c r="J274">
        <v>3198</v>
      </c>
      <c r="K274" t="s">
        <v>17</v>
      </c>
      <c r="L274" t="s">
        <v>1409</v>
      </c>
      <c r="M274" t="s">
        <v>1414</v>
      </c>
    </row>
    <row r="275" spans="1:13">
      <c r="A275" t="s">
        <v>621</v>
      </c>
      <c r="B275" s="6">
        <v>46096</v>
      </c>
      <c r="C275" t="s">
        <v>585</v>
      </c>
      <c r="D275" t="s">
        <v>313</v>
      </c>
      <c r="E275" t="s">
        <v>30</v>
      </c>
      <c r="F275" t="s">
        <v>36</v>
      </c>
      <c r="G275" t="s">
        <v>141</v>
      </c>
      <c r="H275">
        <v>1</v>
      </c>
      <c r="I275">
        <v>999</v>
      </c>
      <c r="J275">
        <v>999</v>
      </c>
      <c r="K275" t="s">
        <v>17</v>
      </c>
      <c r="L275" t="s">
        <v>1409</v>
      </c>
      <c r="M275" t="s">
        <v>1412</v>
      </c>
    </row>
    <row r="276" spans="1:13">
      <c r="A276" t="s">
        <v>622</v>
      </c>
      <c r="B276" s="6">
        <v>46088</v>
      </c>
      <c r="C276" t="s">
        <v>249</v>
      </c>
      <c r="D276" t="s">
        <v>250</v>
      </c>
      <c r="E276" t="s">
        <v>217</v>
      </c>
      <c r="F276" t="s">
        <v>47</v>
      </c>
      <c r="G276" t="s">
        <v>100</v>
      </c>
      <c r="H276">
        <v>2</v>
      </c>
      <c r="I276">
        <v>2799</v>
      </c>
      <c r="J276">
        <v>5598</v>
      </c>
      <c r="K276" t="s">
        <v>17</v>
      </c>
      <c r="L276" t="s">
        <v>1409</v>
      </c>
      <c r="M276" t="s">
        <v>1412</v>
      </c>
    </row>
    <row r="277" spans="1:13">
      <c r="A277" t="s">
        <v>623</v>
      </c>
      <c r="B277" s="6">
        <v>46139</v>
      </c>
      <c r="C277" t="s">
        <v>125</v>
      </c>
      <c r="D277" t="s">
        <v>126</v>
      </c>
      <c r="E277" t="s">
        <v>104</v>
      </c>
      <c r="F277" t="s">
        <v>15</v>
      </c>
      <c r="G277" t="s">
        <v>52</v>
      </c>
      <c r="H277">
        <v>1</v>
      </c>
      <c r="I277">
        <v>899</v>
      </c>
      <c r="J277">
        <v>899</v>
      </c>
      <c r="K277" t="s">
        <v>78</v>
      </c>
      <c r="L277" t="s">
        <v>1409</v>
      </c>
      <c r="M277" t="s">
        <v>1411</v>
      </c>
    </row>
    <row r="278" spans="1:13">
      <c r="A278" t="s">
        <v>624</v>
      </c>
      <c r="B278" s="6">
        <v>46042</v>
      </c>
      <c r="C278" t="s">
        <v>397</v>
      </c>
      <c r="D278" t="s">
        <v>398</v>
      </c>
      <c r="E278" t="s">
        <v>64</v>
      </c>
      <c r="F278" t="s">
        <v>36</v>
      </c>
      <c r="G278" t="s">
        <v>151</v>
      </c>
      <c r="H278">
        <v>2</v>
      </c>
      <c r="I278">
        <v>799</v>
      </c>
      <c r="J278">
        <v>1598</v>
      </c>
      <c r="K278" t="s">
        <v>17</v>
      </c>
      <c r="L278" t="s">
        <v>1409</v>
      </c>
      <c r="M278" t="s">
        <v>1413</v>
      </c>
    </row>
    <row r="279" spans="1:13">
      <c r="A279" t="s">
        <v>625</v>
      </c>
      <c r="B279" s="6">
        <v>46036</v>
      </c>
      <c r="C279" t="s">
        <v>626</v>
      </c>
      <c r="D279" t="s">
        <v>313</v>
      </c>
      <c r="E279" t="s">
        <v>64</v>
      </c>
      <c r="F279" t="s">
        <v>36</v>
      </c>
      <c r="G279" t="s">
        <v>141</v>
      </c>
      <c r="H279">
        <v>3</v>
      </c>
      <c r="I279">
        <v>999</v>
      </c>
      <c r="J279">
        <v>2997</v>
      </c>
      <c r="K279" t="s">
        <v>17</v>
      </c>
      <c r="L279" t="s">
        <v>1409</v>
      </c>
      <c r="M279" t="s">
        <v>1413</v>
      </c>
    </row>
    <row r="280" spans="1:13">
      <c r="A280" t="s">
        <v>627</v>
      </c>
      <c r="B280" s="6">
        <v>46129</v>
      </c>
      <c r="C280" t="s">
        <v>110</v>
      </c>
      <c r="D280" t="s">
        <v>111</v>
      </c>
      <c r="E280" t="s">
        <v>30</v>
      </c>
      <c r="F280" t="s">
        <v>47</v>
      </c>
      <c r="G280" t="s">
        <v>100</v>
      </c>
      <c r="H280">
        <v>2</v>
      </c>
      <c r="I280">
        <v>2799</v>
      </c>
      <c r="J280">
        <v>5598</v>
      </c>
      <c r="K280" t="s">
        <v>17</v>
      </c>
      <c r="L280" t="s">
        <v>1409</v>
      </c>
      <c r="M280" t="s">
        <v>1411</v>
      </c>
    </row>
    <row r="281" spans="1:13">
      <c r="A281" t="s">
        <v>628</v>
      </c>
      <c r="B281" s="6">
        <v>46137</v>
      </c>
      <c r="C281" t="s">
        <v>136</v>
      </c>
      <c r="D281" t="s">
        <v>137</v>
      </c>
      <c r="E281" t="s">
        <v>21</v>
      </c>
      <c r="F281" t="s">
        <v>36</v>
      </c>
      <c r="G281" t="s">
        <v>37</v>
      </c>
      <c r="H281">
        <v>2</v>
      </c>
      <c r="I281">
        <v>2299</v>
      </c>
      <c r="J281">
        <v>4598</v>
      </c>
      <c r="K281" t="s">
        <v>17</v>
      </c>
      <c r="L281" t="s">
        <v>1409</v>
      </c>
      <c r="M281" t="s">
        <v>1411</v>
      </c>
    </row>
    <row r="282" spans="1:13">
      <c r="A282" t="s">
        <v>629</v>
      </c>
      <c r="B282" s="6">
        <v>46107</v>
      </c>
      <c r="C282" t="s">
        <v>330</v>
      </c>
      <c r="D282" t="s">
        <v>331</v>
      </c>
      <c r="E282" t="s">
        <v>217</v>
      </c>
      <c r="F282" t="s">
        <v>15</v>
      </c>
      <c r="G282" t="s">
        <v>52</v>
      </c>
      <c r="H282">
        <v>1</v>
      </c>
      <c r="I282">
        <v>899</v>
      </c>
      <c r="J282">
        <v>899</v>
      </c>
      <c r="K282" t="s">
        <v>17</v>
      </c>
      <c r="L282" t="s">
        <v>1409</v>
      </c>
      <c r="M282" t="s">
        <v>1412</v>
      </c>
    </row>
    <row r="283" spans="1:13">
      <c r="A283" t="s">
        <v>630</v>
      </c>
      <c r="B283" s="6">
        <v>46181</v>
      </c>
      <c r="C283" t="s">
        <v>232</v>
      </c>
      <c r="D283" t="s">
        <v>107</v>
      </c>
      <c r="E283" t="s">
        <v>73</v>
      </c>
      <c r="F283" t="s">
        <v>36</v>
      </c>
      <c r="G283" t="s">
        <v>151</v>
      </c>
      <c r="H283">
        <v>1</v>
      </c>
      <c r="I283">
        <v>799</v>
      </c>
      <c r="J283">
        <v>799</v>
      </c>
      <c r="K283" t="s">
        <v>17</v>
      </c>
      <c r="L283" t="s">
        <v>1409</v>
      </c>
      <c r="M283" t="s">
        <v>1414</v>
      </c>
    </row>
    <row r="284" spans="1:13">
      <c r="A284" t="s">
        <v>631</v>
      </c>
      <c r="B284" s="6">
        <v>46164</v>
      </c>
      <c r="C284" t="s">
        <v>565</v>
      </c>
      <c r="D284" t="s">
        <v>566</v>
      </c>
      <c r="E284" t="s">
        <v>21</v>
      </c>
      <c r="F284" t="s">
        <v>22</v>
      </c>
      <c r="G284" t="s">
        <v>23</v>
      </c>
      <c r="H284">
        <v>1</v>
      </c>
      <c r="I284">
        <v>3299</v>
      </c>
      <c r="J284">
        <v>3299</v>
      </c>
      <c r="K284" t="s">
        <v>17</v>
      </c>
      <c r="L284" t="s">
        <v>1409</v>
      </c>
      <c r="M284" t="s">
        <v>1415</v>
      </c>
    </row>
    <row r="285" spans="1:13">
      <c r="A285" t="s">
        <v>632</v>
      </c>
      <c r="B285" s="6">
        <v>46203</v>
      </c>
      <c r="C285" t="s">
        <v>201</v>
      </c>
      <c r="D285" t="s">
        <v>202</v>
      </c>
      <c r="E285" t="s">
        <v>30</v>
      </c>
      <c r="F285" t="s">
        <v>25</v>
      </c>
      <c r="G285" t="s">
        <v>69</v>
      </c>
      <c r="H285">
        <v>1</v>
      </c>
      <c r="I285">
        <v>2199</v>
      </c>
      <c r="J285">
        <v>2199</v>
      </c>
      <c r="K285" t="s">
        <v>17</v>
      </c>
      <c r="L285" t="s">
        <v>1409</v>
      </c>
      <c r="M285" t="s">
        <v>1414</v>
      </c>
    </row>
    <row r="286" spans="1:13">
      <c r="A286" t="s">
        <v>633</v>
      </c>
      <c r="B286" s="6">
        <v>46187</v>
      </c>
      <c r="C286" t="s">
        <v>526</v>
      </c>
      <c r="D286" t="s">
        <v>55</v>
      </c>
      <c r="E286" t="s">
        <v>30</v>
      </c>
      <c r="F286" t="s">
        <v>36</v>
      </c>
      <c r="G286" t="s">
        <v>141</v>
      </c>
      <c r="H286">
        <v>1</v>
      </c>
      <c r="I286">
        <v>999</v>
      </c>
      <c r="J286">
        <v>999</v>
      </c>
      <c r="K286" t="s">
        <v>17</v>
      </c>
      <c r="L286" t="s">
        <v>1409</v>
      </c>
      <c r="M286" t="s">
        <v>1414</v>
      </c>
    </row>
    <row r="287" spans="1:13">
      <c r="A287" t="s">
        <v>634</v>
      </c>
      <c r="B287" s="6">
        <v>46077</v>
      </c>
      <c r="C287" t="s">
        <v>635</v>
      </c>
      <c r="D287" t="s">
        <v>51</v>
      </c>
      <c r="E287" t="s">
        <v>30</v>
      </c>
      <c r="F287" t="s">
        <v>15</v>
      </c>
      <c r="G287" t="s">
        <v>16</v>
      </c>
      <c r="H287">
        <v>1</v>
      </c>
      <c r="I287">
        <v>1999</v>
      </c>
      <c r="J287">
        <v>1999</v>
      </c>
      <c r="K287" t="s">
        <v>17</v>
      </c>
      <c r="L287" t="s">
        <v>1409</v>
      </c>
      <c r="M287" t="s">
        <v>1410</v>
      </c>
    </row>
    <row r="288" spans="1:13">
      <c r="A288" t="s">
        <v>636</v>
      </c>
      <c r="B288" s="6">
        <v>46127</v>
      </c>
      <c r="C288" t="s">
        <v>288</v>
      </c>
      <c r="D288" t="s">
        <v>289</v>
      </c>
      <c r="E288" t="s">
        <v>14</v>
      </c>
      <c r="F288" t="s">
        <v>36</v>
      </c>
      <c r="G288" t="s">
        <v>37</v>
      </c>
      <c r="H288">
        <v>1</v>
      </c>
      <c r="I288">
        <v>2299</v>
      </c>
      <c r="J288">
        <v>2299</v>
      </c>
      <c r="K288" t="s">
        <v>17</v>
      </c>
      <c r="L288" t="s">
        <v>1409</v>
      </c>
      <c r="M288" t="s">
        <v>1411</v>
      </c>
    </row>
    <row r="289" spans="1:13">
      <c r="A289" t="s">
        <v>637</v>
      </c>
      <c r="B289" s="6">
        <v>46096</v>
      </c>
      <c r="C289" t="s">
        <v>430</v>
      </c>
      <c r="D289" t="s">
        <v>431</v>
      </c>
      <c r="E289" t="s">
        <v>104</v>
      </c>
      <c r="F289" t="s">
        <v>22</v>
      </c>
      <c r="G289" t="s">
        <v>138</v>
      </c>
      <c r="H289">
        <v>1</v>
      </c>
      <c r="I289">
        <v>599</v>
      </c>
      <c r="J289">
        <v>599</v>
      </c>
      <c r="K289" t="s">
        <v>17</v>
      </c>
      <c r="L289" t="s">
        <v>1409</v>
      </c>
      <c r="M289" t="s">
        <v>1412</v>
      </c>
    </row>
    <row r="290" spans="1:13">
      <c r="A290" t="s">
        <v>638</v>
      </c>
      <c r="B290" s="6">
        <v>46031</v>
      </c>
      <c r="C290" t="s">
        <v>193</v>
      </c>
      <c r="D290" t="s">
        <v>194</v>
      </c>
      <c r="E290" t="s">
        <v>30</v>
      </c>
      <c r="F290" t="s">
        <v>22</v>
      </c>
      <c r="G290" t="s">
        <v>43</v>
      </c>
      <c r="H290">
        <v>1</v>
      </c>
      <c r="I290">
        <v>1499</v>
      </c>
      <c r="J290">
        <v>1499</v>
      </c>
      <c r="K290" t="s">
        <v>17</v>
      </c>
      <c r="L290" t="s">
        <v>1409</v>
      </c>
      <c r="M290" t="s">
        <v>1413</v>
      </c>
    </row>
    <row r="291" spans="1:13">
      <c r="A291" t="s">
        <v>639</v>
      </c>
      <c r="B291" s="6">
        <v>46039</v>
      </c>
      <c r="C291" t="s">
        <v>612</v>
      </c>
      <c r="D291" t="s">
        <v>242</v>
      </c>
      <c r="E291" t="s">
        <v>64</v>
      </c>
      <c r="F291" t="s">
        <v>25</v>
      </c>
      <c r="G291" t="s">
        <v>26</v>
      </c>
      <c r="H291">
        <v>2</v>
      </c>
      <c r="I291">
        <v>1299</v>
      </c>
      <c r="J291">
        <v>2598</v>
      </c>
      <c r="K291" t="s">
        <v>17</v>
      </c>
      <c r="L291" t="s">
        <v>1409</v>
      </c>
      <c r="M291" t="s">
        <v>1413</v>
      </c>
    </row>
    <row r="292" spans="1:13">
      <c r="A292" t="s">
        <v>640</v>
      </c>
      <c r="B292" s="6">
        <v>46032</v>
      </c>
      <c r="C292" t="s">
        <v>641</v>
      </c>
      <c r="D292" t="s">
        <v>107</v>
      </c>
      <c r="E292" t="s">
        <v>217</v>
      </c>
      <c r="F292" t="s">
        <v>36</v>
      </c>
      <c r="G292" t="s">
        <v>151</v>
      </c>
      <c r="H292">
        <v>1</v>
      </c>
      <c r="I292">
        <v>799</v>
      </c>
      <c r="J292">
        <v>799</v>
      </c>
      <c r="K292" t="s">
        <v>17</v>
      </c>
      <c r="L292" t="s">
        <v>1409</v>
      </c>
      <c r="M292" t="s">
        <v>1413</v>
      </c>
    </row>
    <row r="293" spans="1:13">
      <c r="A293" t="s">
        <v>642</v>
      </c>
      <c r="B293" s="6">
        <v>46194</v>
      </c>
      <c r="C293" t="s">
        <v>430</v>
      </c>
      <c r="D293" t="s">
        <v>431</v>
      </c>
      <c r="E293" t="s">
        <v>104</v>
      </c>
      <c r="F293" t="s">
        <v>25</v>
      </c>
      <c r="G293" t="s">
        <v>69</v>
      </c>
      <c r="H293">
        <v>1</v>
      </c>
      <c r="I293">
        <v>2199</v>
      </c>
      <c r="J293">
        <v>2199</v>
      </c>
      <c r="K293" t="s">
        <v>17</v>
      </c>
      <c r="L293" t="s">
        <v>1409</v>
      </c>
      <c r="M293" t="s">
        <v>1414</v>
      </c>
    </row>
    <row r="294" spans="1:13">
      <c r="A294" t="s">
        <v>643</v>
      </c>
      <c r="B294" s="6">
        <v>46060</v>
      </c>
      <c r="C294" t="s">
        <v>189</v>
      </c>
      <c r="D294" t="s">
        <v>190</v>
      </c>
      <c r="E294" t="s">
        <v>104</v>
      </c>
      <c r="F294" t="s">
        <v>36</v>
      </c>
      <c r="G294" t="s">
        <v>151</v>
      </c>
      <c r="H294">
        <v>1</v>
      </c>
      <c r="I294">
        <v>799</v>
      </c>
      <c r="J294">
        <v>799</v>
      </c>
      <c r="K294" t="s">
        <v>17</v>
      </c>
      <c r="L294" t="s">
        <v>1409</v>
      </c>
      <c r="M294" t="s">
        <v>1410</v>
      </c>
    </row>
    <row r="295" spans="1:13">
      <c r="A295" t="s">
        <v>644</v>
      </c>
      <c r="B295" s="6">
        <v>46059</v>
      </c>
      <c r="C295" t="s">
        <v>645</v>
      </c>
      <c r="D295" t="s">
        <v>59</v>
      </c>
      <c r="E295" t="s">
        <v>30</v>
      </c>
      <c r="F295" t="s">
        <v>47</v>
      </c>
      <c r="G295" t="s">
        <v>100</v>
      </c>
      <c r="H295">
        <v>1</v>
      </c>
      <c r="I295">
        <v>2799</v>
      </c>
      <c r="J295">
        <v>2799</v>
      </c>
      <c r="K295" t="s">
        <v>17</v>
      </c>
      <c r="L295" t="s">
        <v>1409</v>
      </c>
      <c r="M295" t="s">
        <v>1410</v>
      </c>
    </row>
    <row r="296" spans="1:13">
      <c r="A296" t="s">
        <v>646</v>
      </c>
      <c r="B296" s="6">
        <v>46124</v>
      </c>
      <c r="C296" t="s">
        <v>268</v>
      </c>
      <c r="D296" t="s">
        <v>269</v>
      </c>
      <c r="E296" t="s">
        <v>21</v>
      </c>
      <c r="F296" t="s">
        <v>36</v>
      </c>
      <c r="G296" t="s">
        <v>37</v>
      </c>
      <c r="H296">
        <v>2</v>
      </c>
      <c r="I296">
        <v>2299</v>
      </c>
      <c r="J296">
        <v>4598</v>
      </c>
      <c r="K296" t="s">
        <v>17</v>
      </c>
      <c r="L296" t="s">
        <v>1409</v>
      </c>
      <c r="M296" t="s">
        <v>1411</v>
      </c>
    </row>
    <row r="297" spans="1:13">
      <c r="A297" t="s">
        <v>648</v>
      </c>
      <c r="B297" s="6">
        <v>46118</v>
      </c>
      <c r="C297" t="s">
        <v>201</v>
      </c>
      <c r="D297" t="s">
        <v>202</v>
      </c>
      <c r="E297" t="s">
        <v>30</v>
      </c>
      <c r="F297" t="s">
        <v>22</v>
      </c>
      <c r="G297" t="s">
        <v>43</v>
      </c>
      <c r="H297">
        <v>1</v>
      </c>
      <c r="I297">
        <v>1499</v>
      </c>
      <c r="J297">
        <v>1499</v>
      </c>
      <c r="K297" t="s">
        <v>17</v>
      </c>
      <c r="L297" t="s">
        <v>1409</v>
      </c>
      <c r="M297" t="s">
        <v>1411</v>
      </c>
    </row>
    <row r="298" spans="1:13">
      <c r="A298" t="s">
        <v>649</v>
      </c>
      <c r="B298" s="6">
        <v>46043</v>
      </c>
      <c r="C298" t="s">
        <v>560</v>
      </c>
      <c r="D298" t="s">
        <v>561</v>
      </c>
      <c r="E298" t="s">
        <v>73</v>
      </c>
      <c r="F298" t="s">
        <v>25</v>
      </c>
      <c r="G298" t="s">
        <v>26</v>
      </c>
      <c r="H298">
        <v>1</v>
      </c>
      <c r="I298">
        <v>1299</v>
      </c>
      <c r="J298">
        <v>1299</v>
      </c>
      <c r="K298" t="s">
        <v>17</v>
      </c>
      <c r="L298" t="s">
        <v>1409</v>
      </c>
      <c r="M298" t="s">
        <v>1413</v>
      </c>
    </row>
    <row r="299" spans="1:13">
      <c r="A299" t="s">
        <v>650</v>
      </c>
      <c r="B299" s="6">
        <v>46086</v>
      </c>
      <c r="C299" t="s">
        <v>551</v>
      </c>
      <c r="D299" t="s">
        <v>34</v>
      </c>
      <c r="E299" t="s">
        <v>217</v>
      </c>
      <c r="F299" t="s">
        <v>47</v>
      </c>
      <c r="G299" t="s">
        <v>56</v>
      </c>
      <c r="H299">
        <v>1</v>
      </c>
      <c r="I299">
        <v>3499</v>
      </c>
      <c r="J299">
        <v>3499</v>
      </c>
      <c r="K299" t="s">
        <v>17</v>
      </c>
      <c r="L299" t="s">
        <v>1409</v>
      </c>
      <c r="M299" t="s">
        <v>1412</v>
      </c>
    </row>
    <row r="300" spans="1:13">
      <c r="A300" t="s">
        <v>651</v>
      </c>
      <c r="B300" s="6">
        <v>46043</v>
      </c>
      <c r="C300" t="s">
        <v>288</v>
      </c>
      <c r="D300" t="s">
        <v>289</v>
      </c>
      <c r="E300" t="s">
        <v>14</v>
      </c>
      <c r="F300" t="s">
        <v>47</v>
      </c>
      <c r="G300" t="s">
        <v>48</v>
      </c>
      <c r="H300">
        <v>1</v>
      </c>
      <c r="I300">
        <v>499</v>
      </c>
      <c r="J300">
        <v>499</v>
      </c>
      <c r="K300" t="s">
        <v>17</v>
      </c>
      <c r="L300" t="s">
        <v>1409</v>
      </c>
      <c r="M300" t="s">
        <v>1413</v>
      </c>
    </row>
    <row r="301" spans="1:13">
      <c r="A301" t="s">
        <v>652</v>
      </c>
      <c r="B301" s="6">
        <v>46067</v>
      </c>
      <c r="C301" t="s">
        <v>295</v>
      </c>
      <c r="D301" t="s">
        <v>296</v>
      </c>
      <c r="E301" t="s">
        <v>1417</v>
      </c>
      <c r="F301" t="s">
        <v>22</v>
      </c>
      <c r="G301" t="s">
        <v>23</v>
      </c>
      <c r="H301">
        <v>2</v>
      </c>
      <c r="I301">
        <v>3299</v>
      </c>
      <c r="J301">
        <v>6598</v>
      </c>
      <c r="K301" t="s">
        <v>17</v>
      </c>
      <c r="L301" t="s">
        <v>1409</v>
      </c>
      <c r="M301" t="s">
        <v>1410</v>
      </c>
    </row>
    <row r="302" spans="1:13">
      <c r="A302" t="s">
        <v>653</v>
      </c>
      <c r="B302" s="6">
        <v>46079</v>
      </c>
      <c r="C302" t="s">
        <v>577</v>
      </c>
      <c r="D302" t="s">
        <v>269</v>
      </c>
      <c r="E302" t="s">
        <v>104</v>
      </c>
      <c r="F302" t="s">
        <v>22</v>
      </c>
      <c r="G302" t="s">
        <v>196</v>
      </c>
      <c r="H302">
        <v>1</v>
      </c>
      <c r="I302">
        <v>2499</v>
      </c>
      <c r="J302">
        <v>2499</v>
      </c>
      <c r="K302" t="s">
        <v>17</v>
      </c>
      <c r="L302" t="s">
        <v>1409</v>
      </c>
      <c r="M302" t="s">
        <v>1410</v>
      </c>
    </row>
    <row r="303" spans="1:13">
      <c r="A303" t="s">
        <v>654</v>
      </c>
      <c r="B303" s="6">
        <v>46038</v>
      </c>
      <c r="C303" t="s">
        <v>655</v>
      </c>
      <c r="D303" t="s">
        <v>325</v>
      </c>
      <c r="E303" t="s">
        <v>217</v>
      </c>
      <c r="F303" t="s">
        <v>25</v>
      </c>
      <c r="G303" t="s">
        <v>69</v>
      </c>
      <c r="H303">
        <v>1</v>
      </c>
      <c r="I303">
        <v>2199</v>
      </c>
      <c r="J303">
        <v>2199</v>
      </c>
      <c r="K303" t="s">
        <v>17</v>
      </c>
      <c r="L303" t="s">
        <v>1409</v>
      </c>
      <c r="M303" t="s">
        <v>1413</v>
      </c>
    </row>
    <row r="304" spans="1:13">
      <c r="A304" t="s">
        <v>656</v>
      </c>
      <c r="B304" s="6">
        <v>46160</v>
      </c>
      <c r="C304" t="s">
        <v>98</v>
      </c>
      <c r="D304" t="s">
        <v>99</v>
      </c>
      <c r="E304" t="s">
        <v>64</v>
      </c>
      <c r="F304" t="s">
        <v>25</v>
      </c>
      <c r="G304" t="s">
        <v>26</v>
      </c>
      <c r="H304">
        <v>1</v>
      </c>
      <c r="I304">
        <v>1299</v>
      </c>
      <c r="J304">
        <v>1299</v>
      </c>
      <c r="K304" t="s">
        <v>17</v>
      </c>
      <c r="L304" t="s">
        <v>1409</v>
      </c>
      <c r="M304" t="s">
        <v>1415</v>
      </c>
    </row>
    <row r="305" spans="1:13">
      <c r="A305" t="s">
        <v>657</v>
      </c>
      <c r="B305" s="6">
        <v>46172</v>
      </c>
      <c r="C305" t="s">
        <v>408</v>
      </c>
      <c r="D305" t="s">
        <v>409</v>
      </c>
      <c r="E305" t="s">
        <v>1417</v>
      </c>
      <c r="F305" t="s">
        <v>36</v>
      </c>
      <c r="G305" t="s">
        <v>151</v>
      </c>
      <c r="H305">
        <v>2</v>
      </c>
      <c r="I305">
        <v>799</v>
      </c>
      <c r="J305">
        <v>1598</v>
      </c>
      <c r="K305" t="s">
        <v>17</v>
      </c>
      <c r="L305" t="s">
        <v>1409</v>
      </c>
      <c r="M305" t="s">
        <v>1415</v>
      </c>
    </row>
    <row r="306" spans="1:13">
      <c r="A306" t="s">
        <v>658</v>
      </c>
      <c r="B306" s="6">
        <v>46086</v>
      </c>
      <c r="C306" t="s">
        <v>92</v>
      </c>
      <c r="D306" t="s">
        <v>93</v>
      </c>
      <c r="E306" t="s">
        <v>73</v>
      </c>
      <c r="F306" t="s">
        <v>15</v>
      </c>
      <c r="G306" t="s">
        <v>16</v>
      </c>
      <c r="H306">
        <v>1</v>
      </c>
      <c r="I306">
        <v>1999</v>
      </c>
      <c r="J306">
        <v>1999</v>
      </c>
      <c r="K306" t="s">
        <v>17</v>
      </c>
      <c r="L306" t="s">
        <v>1409</v>
      </c>
      <c r="M306" t="s">
        <v>1412</v>
      </c>
    </row>
    <row r="307" spans="1:13">
      <c r="A307" t="s">
        <v>659</v>
      </c>
      <c r="B307" s="6">
        <v>46170</v>
      </c>
      <c r="C307" t="s">
        <v>660</v>
      </c>
      <c r="D307" t="s">
        <v>661</v>
      </c>
      <c r="E307" t="s">
        <v>21</v>
      </c>
      <c r="F307" t="s">
        <v>36</v>
      </c>
      <c r="G307" t="s">
        <v>37</v>
      </c>
      <c r="H307">
        <v>2</v>
      </c>
      <c r="I307">
        <v>2299</v>
      </c>
      <c r="J307">
        <v>4598</v>
      </c>
      <c r="K307" t="s">
        <v>17</v>
      </c>
      <c r="L307" t="s">
        <v>1409</v>
      </c>
      <c r="M307" t="s">
        <v>1415</v>
      </c>
    </row>
    <row r="308" spans="1:13">
      <c r="A308" t="s">
        <v>662</v>
      </c>
      <c r="B308" s="6">
        <v>46138</v>
      </c>
      <c r="C308" t="s">
        <v>425</v>
      </c>
      <c r="D308" t="s">
        <v>426</v>
      </c>
      <c r="E308" t="s">
        <v>14</v>
      </c>
      <c r="F308" t="s">
        <v>22</v>
      </c>
      <c r="G308" t="s">
        <v>43</v>
      </c>
      <c r="H308">
        <v>1</v>
      </c>
      <c r="I308">
        <v>1499</v>
      </c>
      <c r="J308">
        <v>1499</v>
      </c>
      <c r="K308" t="s">
        <v>17</v>
      </c>
      <c r="L308" t="s">
        <v>1409</v>
      </c>
      <c r="M308" t="s">
        <v>1411</v>
      </c>
    </row>
    <row r="309" spans="1:13">
      <c r="A309" t="s">
        <v>663</v>
      </c>
      <c r="B309" s="6">
        <v>46063</v>
      </c>
      <c r="C309" t="s">
        <v>304</v>
      </c>
      <c r="D309" t="s">
        <v>305</v>
      </c>
      <c r="E309" t="s">
        <v>21</v>
      </c>
      <c r="F309" t="s">
        <v>15</v>
      </c>
      <c r="G309" t="s">
        <v>162</v>
      </c>
      <c r="H309">
        <v>1</v>
      </c>
      <c r="I309">
        <v>1599</v>
      </c>
      <c r="J309">
        <v>1599</v>
      </c>
      <c r="K309" t="s">
        <v>17</v>
      </c>
      <c r="L309" t="s">
        <v>1409</v>
      </c>
      <c r="M309" t="s">
        <v>1410</v>
      </c>
    </row>
    <row r="310" spans="1:13">
      <c r="A310" t="s">
        <v>664</v>
      </c>
      <c r="B310" s="6">
        <v>46044</v>
      </c>
      <c r="C310" t="s">
        <v>291</v>
      </c>
      <c r="D310" t="s">
        <v>340</v>
      </c>
      <c r="E310" t="s">
        <v>14</v>
      </c>
      <c r="F310" t="s">
        <v>47</v>
      </c>
      <c r="G310" t="s">
        <v>48</v>
      </c>
      <c r="H310">
        <v>1</v>
      </c>
      <c r="I310">
        <v>499</v>
      </c>
      <c r="J310">
        <v>499</v>
      </c>
      <c r="K310" t="s">
        <v>17</v>
      </c>
      <c r="L310" t="s">
        <v>1409</v>
      </c>
      <c r="M310" t="s">
        <v>1413</v>
      </c>
    </row>
    <row r="311" spans="1:13">
      <c r="A311" t="s">
        <v>666</v>
      </c>
      <c r="B311" s="6">
        <v>46192</v>
      </c>
      <c r="C311" t="s">
        <v>459</v>
      </c>
      <c r="D311" t="s">
        <v>319</v>
      </c>
      <c r="E311" t="s">
        <v>21</v>
      </c>
      <c r="F311" t="s">
        <v>22</v>
      </c>
      <c r="G311" t="s">
        <v>196</v>
      </c>
      <c r="H311">
        <v>1</v>
      </c>
      <c r="I311">
        <v>2499</v>
      </c>
      <c r="J311">
        <v>2499</v>
      </c>
      <c r="K311" t="s">
        <v>17</v>
      </c>
      <c r="L311" t="s">
        <v>1409</v>
      </c>
      <c r="M311" t="s">
        <v>1414</v>
      </c>
    </row>
    <row r="312" spans="1:13">
      <c r="A312" t="s">
        <v>667</v>
      </c>
      <c r="B312" s="6">
        <v>46035</v>
      </c>
      <c r="C312" t="s">
        <v>551</v>
      </c>
      <c r="D312" t="s">
        <v>34</v>
      </c>
      <c r="E312" t="s">
        <v>217</v>
      </c>
      <c r="F312" t="s">
        <v>25</v>
      </c>
      <c r="G312" t="s">
        <v>26</v>
      </c>
      <c r="H312">
        <v>1</v>
      </c>
      <c r="I312">
        <v>1299</v>
      </c>
      <c r="J312">
        <v>1299</v>
      </c>
      <c r="K312" t="s">
        <v>17</v>
      </c>
      <c r="L312" t="s">
        <v>1409</v>
      </c>
      <c r="M312" t="s">
        <v>1413</v>
      </c>
    </row>
    <row r="313" spans="1:13">
      <c r="A313" t="s">
        <v>668</v>
      </c>
      <c r="B313" s="6">
        <v>46028</v>
      </c>
      <c r="C313" t="s">
        <v>324</v>
      </c>
      <c r="D313" t="s">
        <v>325</v>
      </c>
      <c r="E313" t="s">
        <v>30</v>
      </c>
      <c r="F313" t="s">
        <v>15</v>
      </c>
      <c r="G313" t="s">
        <v>162</v>
      </c>
      <c r="H313">
        <v>2</v>
      </c>
      <c r="I313">
        <v>1599</v>
      </c>
      <c r="J313">
        <v>3198</v>
      </c>
      <c r="K313" t="s">
        <v>17</v>
      </c>
      <c r="L313" t="s">
        <v>1418</v>
      </c>
      <c r="M313" t="s">
        <v>1413</v>
      </c>
    </row>
    <row r="314" spans="1:13">
      <c r="A314" t="s">
        <v>670</v>
      </c>
      <c r="B314" s="6">
        <v>46169</v>
      </c>
      <c r="C314" t="s">
        <v>179</v>
      </c>
      <c r="D314" t="s">
        <v>180</v>
      </c>
      <c r="E314" t="s">
        <v>104</v>
      </c>
      <c r="F314" t="s">
        <v>22</v>
      </c>
      <c r="G314" t="s">
        <v>196</v>
      </c>
      <c r="H314">
        <v>1</v>
      </c>
      <c r="I314">
        <v>2499</v>
      </c>
      <c r="J314">
        <v>2499</v>
      </c>
      <c r="K314" t="s">
        <v>17</v>
      </c>
      <c r="L314" t="s">
        <v>1409</v>
      </c>
      <c r="M314" t="s">
        <v>1415</v>
      </c>
    </row>
    <row r="315" spans="1:13">
      <c r="A315" t="s">
        <v>671</v>
      </c>
      <c r="B315" s="6">
        <v>46146</v>
      </c>
      <c r="C315" t="s">
        <v>102</v>
      </c>
      <c r="D315" t="s">
        <v>103</v>
      </c>
      <c r="E315" t="s">
        <v>104</v>
      </c>
      <c r="F315" t="s">
        <v>25</v>
      </c>
      <c r="G315" t="s">
        <v>26</v>
      </c>
      <c r="H315">
        <v>2</v>
      </c>
      <c r="I315">
        <v>1299</v>
      </c>
      <c r="J315">
        <v>2598</v>
      </c>
      <c r="K315" t="s">
        <v>17</v>
      </c>
      <c r="L315" t="s">
        <v>1409</v>
      </c>
      <c r="M315" t="s">
        <v>1415</v>
      </c>
    </row>
    <row r="316" spans="1:13">
      <c r="A316" t="s">
        <v>672</v>
      </c>
      <c r="B316" s="6">
        <v>46148</v>
      </c>
      <c r="C316" t="s">
        <v>660</v>
      </c>
      <c r="D316" t="s">
        <v>661</v>
      </c>
      <c r="E316" t="s">
        <v>21</v>
      </c>
      <c r="F316" t="s">
        <v>15</v>
      </c>
      <c r="G316" t="s">
        <v>16</v>
      </c>
      <c r="H316">
        <v>1</v>
      </c>
      <c r="I316">
        <v>1999</v>
      </c>
      <c r="J316">
        <v>1999</v>
      </c>
      <c r="K316" t="s">
        <v>17</v>
      </c>
      <c r="L316" t="s">
        <v>1409</v>
      </c>
      <c r="M316" t="s">
        <v>1415</v>
      </c>
    </row>
    <row r="317" spans="1:13">
      <c r="A317" t="s">
        <v>673</v>
      </c>
      <c r="B317" s="6">
        <v>46135</v>
      </c>
      <c r="C317" t="s">
        <v>92</v>
      </c>
      <c r="D317" t="s">
        <v>93</v>
      </c>
      <c r="E317" t="s">
        <v>73</v>
      </c>
      <c r="F317" t="s">
        <v>36</v>
      </c>
      <c r="G317" t="s">
        <v>151</v>
      </c>
      <c r="H317">
        <v>2</v>
      </c>
      <c r="I317">
        <v>799</v>
      </c>
      <c r="J317">
        <v>1598</v>
      </c>
      <c r="K317" t="s">
        <v>17</v>
      </c>
      <c r="L317" t="s">
        <v>1409</v>
      </c>
      <c r="M317" t="s">
        <v>1411</v>
      </c>
    </row>
    <row r="318" spans="1:13">
      <c r="A318" t="s">
        <v>674</v>
      </c>
      <c r="B318" s="6">
        <v>46028</v>
      </c>
      <c r="C318" t="s">
        <v>450</v>
      </c>
      <c r="D318" t="s">
        <v>451</v>
      </c>
      <c r="E318" t="s">
        <v>64</v>
      </c>
      <c r="F318" t="s">
        <v>15</v>
      </c>
      <c r="G318" t="s">
        <v>162</v>
      </c>
      <c r="H318">
        <v>3</v>
      </c>
      <c r="I318">
        <v>1599</v>
      </c>
      <c r="J318">
        <v>4797</v>
      </c>
      <c r="K318" t="s">
        <v>17</v>
      </c>
      <c r="L318" t="s">
        <v>1409</v>
      </c>
      <c r="M318" t="s">
        <v>1413</v>
      </c>
    </row>
    <row r="319" spans="1:13">
      <c r="A319" t="s">
        <v>675</v>
      </c>
      <c r="B319" s="6">
        <v>46133</v>
      </c>
      <c r="C319" t="s">
        <v>467</v>
      </c>
      <c r="D319" t="s">
        <v>468</v>
      </c>
      <c r="E319" t="s">
        <v>217</v>
      </c>
      <c r="F319" t="s">
        <v>36</v>
      </c>
      <c r="G319" t="s">
        <v>151</v>
      </c>
      <c r="H319">
        <v>2</v>
      </c>
      <c r="I319">
        <v>799</v>
      </c>
      <c r="J319">
        <v>1598</v>
      </c>
      <c r="K319" t="s">
        <v>17</v>
      </c>
      <c r="L319" t="s">
        <v>1409</v>
      </c>
      <c r="M319" t="s">
        <v>1411</v>
      </c>
    </row>
    <row r="320" spans="1:13">
      <c r="A320" t="s">
        <v>677</v>
      </c>
      <c r="B320" s="6">
        <v>46179</v>
      </c>
      <c r="C320" t="s">
        <v>201</v>
      </c>
      <c r="D320" t="s">
        <v>202</v>
      </c>
      <c r="E320" t="s">
        <v>30</v>
      </c>
      <c r="F320" t="s">
        <v>36</v>
      </c>
      <c r="G320" t="s">
        <v>141</v>
      </c>
      <c r="H320">
        <v>1</v>
      </c>
      <c r="I320">
        <v>999</v>
      </c>
      <c r="J320">
        <v>999</v>
      </c>
      <c r="K320" t="s">
        <v>17</v>
      </c>
      <c r="L320" t="s">
        <v>1409</v>
      </c>
      <c r="M320" t="s">
        <v>1414</v>
      </c>
    </row>
    <row r="321" spans="1:13">
      <c r="A321" t="s">
        <v>678</v>
      </c>
      <c r="B321" s="6">
        <v>46182</v>
      </c>
      <c r="C321" t="s">
        <v>261</v>
      </c>
      <c r="D321" t="s">
        <v>262</v>
      </c>
      <c r="E321" t="s">
        <v>64</v>
      </c>
      <c r="F321" t="s">
        <v>25</v>
      </c>
      <c r="G321" t="s">
        <v>115</v>
      </c>
      <c r="H321">
        <v>1</v>
      </c>
      <c r="I321">
        <v>3999</v>
      </c>
      <c r="J321">
        <v>3999</v>
      </c>
      <c r="K321" t="s">
        <v>17</v>
      </c>
      <c r="L321" t="s">
        <v>1409</v>
      </c>
      <c r="M321" t="s">
        <v>1414</v>
      </c>
    </row>
    <row r="322" spans="1:13">
      <c r="A322" t="s">
        <v>679</v>
      </c>
      <c r="B322" s="6">
        <v>46082</v>
      </c>
      <c r="C322" t="s">
        <v>680</v>
      </c>
      <c r="D322" t="s">
        <v>436</v>
      </c>
      <c r="E322" t="s">
        <v>89</v>
      </c>
      <c r="F322" t="s">
        <v>25</v>
      </c>
      <c r="G322" t="s">
        <v>115</v>
      </c>
      <c r="H322">
        <v>1</v>
      </c>
      <c r="I322">
        <v>3999</v>
      </c>
      <c r="J322">
        <v>3999</v>
      </c>
      <c r="K322" t="s">
        <v>17</v>
      </c>
      <c r="L322" t="s">
        <v>1409</v>
      </c>
      <c r="M322" t="s">
        <v>1412</v>
      </c>
    </row>
    <row r="323" spans="1:13">
      <c r="A323" t="s">
        <v>682</v>
      </c>
      <c r="B323" s="6">
        <v>46147</v>
      </c>
      <c r="C323" t="s">
        <v>312</v>
      </c>
      <c r="D323" t="s">
        <v>313</v>
      </c>
      <c r="E323" t="s">
        <v>21</v>
      </c>
      <c r="F323" t="s">
        <v>15</v>
      </c>
      <c r="G323" t="s">
        <v>16</v>
      </c>
      <c r="H323">
        <v>1</v>
      </c>
      <c r="I323">
        <v>1999</v>
      </c>
      <c r="J323">
        <v>1999</v>
      </c>
      <c r="K323" t="s">
        <v>17</v>
      </c>
      <c r="L323" t="s">
        <v>1409</v>
      </c>
      <c r="M323" t="s">
        <v>1415</v>
      </c>
    </row>
    <row r="324" spans="1:13">
      <c r="A324" t="s">
        <v>683</v>
      </c>
      <c r="B324" s="6">
        <v>46141</v>
      </c>
      <c r="C324" t="s">
        <v>425</v>
      </c>
      <c r="D324" t="s">
        <v>426</v>
      </c>
      <c r="E324" t="s">
        <v>14</v>
      </c>
      <c r="F324" t="s">
        <v>25</v>
      </c>
      <c r="G324" t="s">
        <v>26</v>
      </c>
      <c r="H324">
        <v>1</v>
      </c>
      <c r="I324">
        <v>1299</v>
      </c>
      <c r="J324">
        <v>1299</v>
      </c>
      <c r="K324" t="s">
        <v>17</v>
      </c>
      <c r="L324" t="s">
        <v>1409</v>
      </c>
      <c r="M324" t="s">
        <v>1411</v>
      </c>
    </row>
    <row r="325" spans="1:13">
      <c r="A325" t="s">
        <v>685</v>
      </c>
      <c r="B325" s="6">
        <v>46113</v>
      </c>
      <c r="C325" t="s">
        <v>110</v>
      </c>
      <c r="D325" t="s">
        <v>111</v>
      </c>
      <c r="E325" t="s">
        <v>30</v>
      </c>
      <c r="F325" t="s">
        <v>15</v>
      </c>
      <c r="G325" t="s">
        <v>16</v>
      </c>
      <c r="H325">
        <v>1</v>
      </c>
      <c r="I325">
        <v>1999</v>
      </c>
      <c r="J325">
        <v>1999</v>
      </c>
      <c r="K325" t="s">
        <v>17</v>
      </c>
      <c r="L325" t="s">
        <v>1409</v>
      </c>
      <c r="M325" t="s">
        <v>1411</v>
      </c>
    </row>
    <row r="326" spans="1:13">
      <c r="A326" t="s">
        <v>686</v>
      </c>
      <c r="B326" s="6">
        <v>46039</v>
      </c>
      <c r="C326" t="s">
        <v>136</v>
      </c>
      <c r="D326" t="s">
        <v>137</v>
      </c>
      <c r="E326" t="s">
        <v>21</v>
      </c>
      <c r="F326" t="s">
        <v>22</v>
      </c>
      <c r="G326" t="s">
        <v>196</v>
      </c>
      <c r="H326">
        <v>1</v>
      </c>
      <c r="I326">
        <v>2499</v>
      </c>
      <c r="J326">
        <v>2499</v>
      </c>
      <c r="K326" t="s">
        <v>17</v>
      </c>
      <c r="L326" t="s">
        <v>1409</v>
      </c>
      <c r="M326" t="s">
        <v>1413</v>
      </c>
    </row>
    <row r="327" spans="1:13">
      <c r="A327" t="s">
        <v>687</v>
      </c>
      <c r="B327" s="6">
        <v>46125</v>
      </c>
      <c r="C327" t="s">
        <v>210</v>
      </c>
      <c r="D327" t="s">
        <v>211</v>
      </c>
      <c r="E327" t="s">
        <v>14</v>
      </c>
      <c r="F327" t="s">
        <v>47</v>
      </c>
      <c r="G327" t="s">
        <v>48</v>
      </c>
      <c r="H327">
        <v>1</v>
      </c>
      <c r="I327">
        <v>499</v>
      </c>
      <c r="J327">
        <v>499</v>
      </c>
      <c r="K327" t="s">
        <v>17</v>
      </c>
      <c r="L327" t="s">
        <v>1409</v>
      </c>
      <c r="M327" t="s">
        <v>1411</v>
      </c>
    </row>
    <row r="328" spans="1:13">
      <c r="A328" t="s">
        <v>688</v>
      </c>
      <c r="B328" s="6">
        <v>46095</v>
      </c>
      <c r="C328" t="s">
        <v>216</v>
      </c>
      <c r="D328" t="s">
        <v>202</v>
      </c>
      <c r="E328" t="s">
        <v>217</v>
      </c>
      <c r="F328" t="s">
        <v>47</v>
      </c>
      <c r="G328" t="s">
        <v>128</v>
      </c>
      <c r="H328">
        <v>2</v>
      </c>
      <c r="I328">
        <v>1199</v>
      </c>
      <c r="J328">
        <v>2398</v>
      </c>
      <c r="K328" t="s">
        <v>17</v>
      </c>
      <c r="L328" t="s">
        <v>1409</v>
      </c>
      <c r="M328" t="s">
        <v>1412</v>
      </c>
    </row>
    <row r="329" spans="1:13">
      <c r="A329" t="s">
        <v>689</v>
      </c>
      <c r="B329" s="6">
        <v>46150</v>
      </c>
      <c r="C329" t="s">
        <v>110</v>
      </c>
      <c r="D329" t="s">
        <v>111</v>
      </c>
      <c r="E329" t="s">
        <v>30</v>
      </c>
      <c r="F329" t="s">
        <v>47</v>
      </c>
      <c r="G329" t="s">
        <v>100</v>
      </c>
      <c r="H329">
        <v>2</v>
      </c>
      <c r="I329">
        <v>2799</v>
      </c>
      <c r="J329">
        <v>5598</v>
      </c>
      <c r="K329" t="s">
        <v>17</v>
      </c>
      <c r="L329" t="s">
        <v>1416</v>
      </c>
      <c r="M329" t="s">
        <v>1415</v>
      </c>
    </row>
    <row r="330" spans="1:13">
      <c r="A330" t="s">
        <v>690</v>
      </c>
      <c r="B330" s="6">
        <v>46189</v>
      </c>
      <c r="C330" t="s">
        <v>308</v>
      </c>
      <c r="D330" t="s">
        <v>309</v>
      </c>
      <c r="E330" t="s">
        <v>104</v>
      </c>
      <c r="F330" t="s">
        <v>15</v>
      </c>
      <c r="G330" t="s">
        <v>16</v>
      </c>
      <c r="H330">
        <v>1</v>
      </c>
      <c r="I330">
        <v>1999</v>
      </c>
      <c r="J330">
        <v>1999</v>
      </c>
      <c r="K330" t="s">
        <v>17</v>
      </c>
      <c r="L330" t="s">
        <v>1409</v>
      </c>
      <c r="M330" t="s">
        <v>1414</v>
      </c>
    </row>
    <row r="331" spans="1:13">
      <c r="A331" t="s">
        <v>691</v>
      </c>
      <c r="B331" s="6">
        <v>46181</v>
      </c>
      <c r="C331" t="s">
        <v>422</v>
      </c>
      <c r="D331" t="s">
        <v>173</v>
      </c>
      <c r="E331" t="s">
        <v>217</v>
      </c>
      <c r="F331" t="s">
        <v>22</v>
      </c>
      <c r="G331" t="s">
        <v>23</v>
      </c>
      <c r="H331">
        <v>1</v>
      </c>
      <c r="I331">
        <v>3299</v>
      </c>
      <c r="J331">
        <v>3299</v>
      </c>
      <c r="K331" t="s">
        <v>17</v>
      </c>
      <c r="L331" t="s">
        <v>1409</v>
      </c>
      <c r="M331" t="s">
        <v>1414</v>
      </c>
    </row>
    <row r="332" spans="1:13">
      <c r="A332" t="s">
        <v>693</v>
      </c>
      <c r="B332" s="6">
        <v>46120</v>
      </c>
      <c r="C332" t="s">
        <v>475</v>
      </c>
      <c r="D332" t="s">
        <v>84</v>
      </c>
      <c r="E332" t="s">
        <v>73</v>
      </c>
      <c r="F332" t="s">
        <v>36</v>
      </c>
      <c r="G332" t="s">
        <v>141</v>
      </c>
      <c r="H332">
        <v>1</v>
      </c>
      <c r="I332">
        <v>999</v>
      </c>
      <c r="J332">
        <v>999</v>
      </c>
      <c r="K332" t="s">
        <v>17</v>
      </c>
      <c r="L332" t="s">
        <v>1409</v>
      </c>
      <c r="M332" t="s">
        <v>1411</v>
      </c>
    </row>
    <row r="333" spans="1:13">
      <c r="A333" t="s">
        <v>695</v>
      </c>
      <c r="B333" s="6">
        <v>46107</v>
      </c>
      <c r="C333" t="s">
        <v>168</v>
      </c>
      <c r="D333" t="s">
        <v>281</v>
      </c>
      <c r="E333" t="s">
        <v>64</v>
      </c>
      <c r="F333" t="s">
        <v>47</v>
      </c>
      <c r="G333" t="s">
        <v>100</v>
      </c>
      <c r="H333">
        <v>2</v>
      </c>
      <c r="I333">
        <v>2799</v>
      </c>
      <c r="J333">
        <v>5598</v>
      </c>
      <c r="K333" t="s">
        <v>17</v>
      </c>
      <c r="L333" t="s">
        <v>1409</v>
      </c>
      <c r="M333" t="s">
        <v>1412</v>
      </c>
    </row>
    <row r="334" spans="1:13">
      <c r="A334" t="s">
        <v>696</v>
      </c>
      <c r="B334" s="6">
        <v>46081</v>
      </c>
      <c r="C334" t="s">
        <v>216</v>
      </c>
      <c r="D334" t="s">
        <v>202</v>
      </c>
      <c r="E334" t="s">
        <v>217</v>
      </c>
      <c r="F334" t="s">
        <v>47</v>
      </c>
      <c r="G334" t="s">
        <v>100</v>
      </c>
      <c r="H334">
        <v>1</v>
      </c>
      <c r="I334">
        <v>2799</v>
      </c>
      <c r="J334">
        <v>2799</v>
      </c>
      <c r="K334" t="s">
        <v>17</v>
      </c>
      <c r="L334" t="s">
        <v>1409</v>
      </c>
      <c r="M334" t="s">
        <v>1410</v>
      </c>
    </row>
    <row r="335" spans="1:13">
      <c r="A335" t="s">
        <v>697</v>
      </c>
      <c r="B335" s="6">
        <v>46056</v>
      </c>
      <c r="C335" t="s">
        <v>1417</v>
      </c>
      <c r="D335" t="s">
        <v>426</v>
      </c>
      <c r="E335" t="s">
        <v>14</v>
      </c>
      <c r="F335" t="s">
        <v>36</v>
      </c>
      <c r="G335" t="s">
        <v>151</v>
      </c>
      <c r="H335">
        <v>2</v>
      </c>
      <c r="I335">
        <v>799</v>
      </c>
      <c r="J335">
        <v>1598</v>
      </c>
      <c r="K335" t="s">
        <v>17</v>
      </c>
      <c r="L335" t="s">
        <v>1409</v>
      </c>
      <c r="M335" t="s">
        <v>1410</v>
      </c>
    </row>
    <row r="336" spans="1:13">
      <c r="A336" t="s">
        <v>698</v>
      </c>
      <c r="B336" s="6">
        <v>46030</v>
      </c>
      <c r="C336" t="s">
        <v>75</v>
      </c>
      <c r="D336" t="s">
        <v>76</v>
      </c>
      <c r="E336" t="s">
        <v>64</v>
      </c>
      <c r="F336" t="s">
        <v>22</v>
      </c>
      <c r="G336" t="s">
        <v>196</v>
      </c>
      <c r="H336">
        <v>1</v>
      </c>
      <c r="I336">
        <v>2499</v>
      </c>
      <c r="J336">
        <v>2499</v>
      </c>
      <c r="K336" t="s">
        <v>17</v>
      </c>
      <c r="L336" t="s">
        <v>1409</v>
      </c>
      <c r="M336" t="s">
        <v>1413</v>
      </c>
    </row>
    <row r="337" spans="1:13">
      <c r="A337" t="s">
        <v>699</v>
      </c>
      <c r="B337" s="6">
        <v>46097</v>
      </c>
      <c r="C337" t="s">
        <v>133</v>
      </c>
      <c r="D337" t="s">
        <v>134</v>
      </c>
      <c r="E337" t="s">
        <v>104</v>
      </c>
      <c r="F337" t="s">
        <v>25</v>
      </c>
      <c r="G337" t="s">
        <v>69</v>
      </c>
      <c r="H337">
        <v>3</v>
      </c>
      <c r="I337">
        <v>2199</v>
      </c>
      <c r="J337">
        <v>6597</v>
      </c>
      <c r="K337" t="s">
        <v>17</v>
      </c>
      <c r="L337" t="s">
        <v>1409</v>
      </c>
      <c r="M337" t="s">
        <v>1412</v>
      </c>
    </row>
    <row r="338" spans="1:13">
      <c r="A338" t="s">
        <v>700</v>
      </c>
      <c r="B338" s="6">
        <v>46040</v>
      </c>
      <c r="C338" t="s">
        <v>645</v>
      </c>
      <c r="D338" t="s">
        <v>59</v>
      </c>
      <c r="E338" t="s">
        <v>30</v>
      </c>
      <c r="F338" t="s">
        <v>36</v>
      </c>
      <c r="G338" t="s">
        <v>141</v>
      </c>
      <c r="H338">
        <v>2</v>
      </c>
      <c r="I338">
        <v>999</v>
      </c>
      <c r="J338">
        <v>1998</v>
      </c>
      <c r="K338" t="s">
        <v>17</v>
      </c>
      <c r="L338" t="s">
        <v>1409</v>
      </c>
      <c r="M338" t="s">
        <v>1413</v>
      </c>
    </row>
    <row r="339" spans="1:13">
      <c r="A339" t="s">
        <v>701</v>
      </c>
      <c r="B339" s="6">
        <v>46043</v>
      </c>
      <c r="C339" t="s">
        <v>475</v>
      </c>
      <c r="D339" t="s">
        <v>84</v>
      </c>
      <c r="E339" t="s">
        <v>73</v>
      </c>
      <c r="F339" t="s">
        <v>25</v>
      </c>
      <c r="G339" t="s">
        <v>26</v>
      </c>
      <c r="H339">
        <v>1</v>
      </c>
      <c r="I339">
        <v>1299</v>
      </c>
      <c r="J339">
        <v>1299</v>
      </c>
      <c r="K339" t="s">
        <v>17</v>
      </c>
      <c r="L339" t="s">
        <v>1409</v>
      </c>
      <c r="M339" t="s">
        <v>1413</v>
      </c>
    </row>
    <row r="340" spans="1:13">
      <c r="A340" t="s">
        <v>702</v>
      </c>
      <c r="B340" s="6">
        <v>46125</v>
      </c>
      <c r="C340" t="s">
        <v>92</v>
      </c>
      <c r="D340" t="s">
        <v>93</v>
      </c>
      <c r="E340" t="s">
        <v>73</v>
      </c>
      <c r="F340" t="s">
        <v>25</v>
      </c>
      <c r="G340" t="s">
        <v>115</v>
      </c>
      <c r="H340">
        <v>1</v>
      </c>
      <c r="I340">
        <v>3999</v>
      </c>
      <c r="J340">
        <v>3999</v>
      </c>
      <c r="K340" t="s">
        <v>17</v>
      </c>
      <c r="L340" t="s">
        <v>1409</v>
      </c>
      <c r="M340" t="s">
        <v>1411</v>
      </c>
    </row>
    <row r="341" spans="1:13">
      <c r="A341" t="s">
        <v>703</v>
      </c>
      <c r="B341" s="6">
        <v>46143</v>
      </c>
      <c r="C341" t="s">
        <v>288</v>
      </c>
      <c r="D341" t="s">
        <v>289</v>
      </c>
      <c r="E341" t="s">
        <v>14</v>
      </c>
      <c r="F341" t="s">
        <v>47</v>
      </c>
      <c r="G341" t="s">
        <v>56</v>
      </c>
      <c r="H341">
        <v>1</v>
      </c>
      <c r="I341">
        <v>3499</v>
      </c>
      <c r="J341">
        <v>3499</v>
      </c>
      <c r="K341" t="s">
        <v>78</v>
      </c>
      <c r="L341" t="s">
        <v>1409</v>
      </c>
      <c r="M341" t="s">
        <v>1415</v>
      </c>
    </row>
    <row r="342" spans="1:13">
      <c r="A342" t="s">
        <v>705</v>
      </c>
      <c r="B342" s="6">
        <v>46147</v>
      </c>
      <c r="C342" t="s">
        <v>87</v>
      </c>
      <c r="D342" t="s">
        <v>88</v>
      </c>
      <c r="E342" t="s">
        <v>89</v>
      </c>
      <c r="F342" t="s">
        <v>15</v>
      </c>
      <c r="G342" t="s">
        <v>52</v>
      </c>
      <c r="H342">
        <v>1</v>
      </c>
      <c r="I342">
        <v>899</v>
      </c>
      <c r="J342">
        <v>899</v>
      </c>
      <c r="K342" t="s">
        <v>78</v>
      </c>
      <c r="L342" t="s">
        <v>1409</v>
      </c>
      <c r="M342" t="s">
        <v>1415</v>
      </c>
    </row>
    <row r="343" spans="1:13">
      <c r="A343" t="s">
        <v>706</v>
      </c>
      <c r="B343" s="6">
        <v>46202</v>
      </c>
      <c r="C343" t="s">
        <v>288</v>
      </c>
      <c r="D343" t="s">
        <v>289</v>
      </c>
      <c r="E343" t="s">
        <v>14</v>
      </c>
      <c r="F343" t="s">
        <v>36</v>
      </c>
      <c r="G343" t="s">
        <v>37</v>
      </c>
      <c r="H343">
        <v>1</v>
      </c>
      <c r="I343">
        <v>2299</v>
      </c>
      <c r="J343">
        <v>2299</v>
      </c>
      <c r="K343" t="s">
        <v>17</v>
      </c>
      <c r="L343" t="s">
        <v>1409</v>
      </c>
      <c r="M343" t="s">
        <v>1414</v>
      </c>
    </row>
    <row r="344" spans="1:13">
      <c r="A344" t="s">
        <v>707</v>
      </c>
      <c r="B344" s="6">
        <v>46199</v>
      </c>
      <c r="C344" t="s">
        <v>504</v>
      </c>
      <c r="D344" t="s">
        <v>505</v>
      </c>
      <c r="E344" t="s">
        <v>217</v>
      </c>
      <c r="F344" t="s">
        <v>47</v>
      </c>
      <c r="G344" t="s">
        <v>48</v>
      </c>
      <c r="H344">
        <v>1</v>
      </c>
      <c r="I344">
        <v>499</v>
      </c>
      <c r="J344">
        <v>499</v>
      </c>
      <c r="K344" t="s">
        <v>17</v>
      </c>
      <c r="L344" t="s">
        <v>1409</v>
      </c>
      <c r="M344" t="s">
        <v>1414</v>
      </c>
    </row>
    <row r="345" spans="1:13">
      <c r="A345" t="s">
        <v>709</v>
      </c>
      <c r="B345" s="6">
        <v>46198</v>
      </c>
      <c r="C345" t="s">
        <v>490</v>
      </c>
      <c r="D345" t="s">
        <v>491</v>
      </c>
      <c r="E345" t="s">
        <v>217</v>
      </c>
      <c r="F345" t="s">
        <v>47</v>
      </c>
      <c r="G345" t="s">
        <v>56</v>
      </c>
      <c r="H345">
        <v>1</v>
      </c>
      <c r="I345">
        <v>3499</v>
      </c>
      <c r="J345">
        <v>3499</v>
      </c>
      <c r="K345" t="s">
        <v>17</v>
      </c>
      <c r="L345" t="s">
        <v>1409</v>
      </c>
      <c r="M345" t="s">
        <v>1414</v>
      </c>
    </row>
    <row r="346" spans="1:13">
      <c r="A346" t="s">
        <v>710</v>
      </c>
      <c r="B346" s="6">
        <v>46161</v>
      </c>
      <c r="C346" t="s">
        <v>467</v>
      </c>
      <c r="D346" t="s">
        <v>468</v>
      </c>
      <c r="E346" t="s">
        <v>217</v>
      </c>
      <c r="F346" t="s">
        <v>25</v>
      </c>
      <c r="G346" t="s">
        <v>26</v>
      </c>
      <c r="H346">
        <v>1</v>
      </c>
      <c r="I346">
        <v>1299</v>
      </c>
      <c r="J346">
        <v>1299</v>
      </c>
      <c r="K346" t="s">
        <v>17</v>
      </c>
      <c r="L346" t="s">
        <v>1409</v>
      </c>
      <c r="M346" t="s">
        <v>1415</v>
      </c>
    </row>
    <row r="347" spans="1:13">
      <c r="A347" t="s">
        <v>711</v>
      </c>
      <c r="B347" s="6">
        <v>46030</v>
      </c>
      <c r="C347" t="s">
        <v>467</v>
      </c>
      <c r="D347" t="s">
        <v>468</v>
      </c>
      <c r="E347" t="s">
        <v>217</v>
      </c>
      <c r="F347" t="s">
        <v>15</v>
      </c>
      <c r="G347" t="s">
        <v>162</v>
      </c>
      <c r="H347">
        <v>1</v>
      </c>
      <c r="I347">
        <v>1599</v>
      </c>
      <c r="J347">
        <v>1599</v>
      </c>
      <c r="K347" t="s">
        <v>17</v>
      </c>
      <c r="L347" t="s">
        <v>1409</v>
      </c>
      <c r="M347" t="s">
        <v>1413</v>
      </c>
    </row>
    <row r="348" spans="1:13">
      <c r="A348" t="s">
        <v>712</v>
      </c>
      <c r="B348" s="6">
        <v>46096</v>
      </c>
      <c r="C348" t="s">
        <v>713</v>
      </c>
      <c r="D348" t="s">
        <v>714</v>
      </c>
      <c r="E348" t="s">
        <v>217</v>
      </c>
      <c r="F348" t="s">
        <v>47</v>
      </c>
      <c r="G348" t="s">
        <v>48</v>
      </c>
      <c r="H348">
        <v>1</v>
      </c>
      <c r="I348">
        <v>499</v>
      </c>
      <c r="J348">
        <v>499</v>
      </c>
      <c r="K348" t="s">
        <v>17</v>
      </c>
      <c r="L348" t="s">
        <v>1409</v>
      </c>
      <c r="M348" t="s">
        <v>1412</v>
      </c>
    </row>
    <row r="349" spans="1:13">
      <c r="A349" t="s">
        <v>715</v>
      </c>
      <c r="B349" s="6">
        <v>46143</v>
      </c>
      <c r="C349" t="s">
        <v>499</v>
      </c>
      <c r="D349" t="s">
        <v>59</v>
      </c>
      <c r="E349" t="s">
        <v>21</v>
      </c>
      <c r="F349" t="s">
        <v>22</v>
      </c>
      <c r="G349" t="s">
        <v>138</v>
      </c>
      <c r="H349">
        <v>1</v>
      </c>
      <c r="I349">
        <v>599</v>
      </c>
      <c r="J349">
        <v>599</v>
      </c>
      <c r="K349" t="s">
        <v>17</v>
      </c>
      <c r="L349" t="s">
        <v>1409</v>
      </c>
      <c r="M349" t="s">
        <v>1415</v>
      </c>
    </row>
    <row r="350" spans="1:13">
      <c r="A350" t="s">
        <v>716</v>
      </c>
      <c r="B350" s="6">
        <v>46066</v>
      </c>
      <c r="C350" t="s">
        <v>577</v>
      </c>
      <c r="D350" t="s">
        <v>269</v>
      </c>
      <c r="E350" t="s">
        <v>104</v>
      </c>
      <c r="F350" t="s">
        <v>47</v>
      </c>
      <c r="G350" t="s">
        <v>100</v>
      </c>
      <c r="H350">
        <v>1</v>
      </c>
      <c r="I350">
        <v>2799</v>
      </c>
      <c r="J350">
        <v>2799</v>
      </c>
      <c r="K350" t="s">
        <v>17</v>
      </c>
      <c r="L350" t="s">
        <v>1409</v>
      </c>
      <c r="M350" t="s">
        <v>1410</v>
      </c>
    </row>
    <row r="351" spans="1:13">
      <c r="A351" t="s">
        <v>717</v>
      </c>
      <c r="B351" s="6">
        <v>46133</v>
      </c>
      <c r="C351" t="s">
        <v>497</v>
      </c>
      <c r="D351" t="s">
        <v>114</v>
      </c>
      <c r="E351" t="s">
        <v>104</v>
      </c>
      <c r="F351" t="s">
        <v>25</v>
      </c>
      <c r="G351" t="s">
        <v>115</v>
      </c>
      <c r="H351">
        <v>1</v>
      </c>
      <c r="I351">
        <v>3999</v>
      </c>
      <c r="J351">
        <v>3999</v>
      </c>
      <c r="K351" t="s">
        <v>17</v>
      </c>
      <c r="L351" t="s">
        <v>1409</v>
      </c>
      <c r="M351" t="s">
        <v>1411</v>
      </c>
    </row>
    <row r="352" spans="1:13">
      <c r="A352" t="s">
        <v>718</v>
      </c>
      <c r="B352" s="6">
        <v>46041</v>
      </c>
      <c r="C352" t="s">
        <v>288</v>
      </c>
      <c r="D352" t="s">
        <v>289</v>
      </c>
      <c r="E352" t="s">
        <v>14</v>
      </c>
      <c r="F352" t="s">
        <v>22</v>
      </c>
      <c r="G352" t="s">
        <v>196</v>
      </c>
      <c r="H352">
        <v>2</v>
      </c>
      <c r="I352">
        <v>2499</v>
      </c>
      <c r="J352">
        <v>4998</v>
      </c>
      <c r="K352" t="s">
        <v>17</v>
      </c>
      <c r="L352" t="s">
        <v>1409</v>
      </c>
      <c r="M352" t="s">
        <v>1413</v>
      </c>
    </row>
    <row r="353" spans="1:13">
      <c r="A353" t="s">
        <v>719</v>
      </c>
      <c r="B353" s="6">
        <v>46141</v>
      </c>
      <c r="C353" t="s">
        <v>400</v>
      </c>
      <c r="D353" t="s">
        <v>401</v>
      </c>
      <c r="E353" t="s">
        <v>21</v>
      </c>
      <c r="F353" t="s">
        <v>25</v>
      </c>
      <c r="G353" t="s">
        <v>31</v>
      </c>
      <c r="H353">
        <v>3</v>
      </c>
      <c r="I353">
        <v>1799</v>
      </c>
      <c r="J353">
        <v>5397</v>
      </c>
      <c r="K353" t="s">
        <v>17</v>
      </c>
      <c r="L353" t="s">
        <v>1409</v>
      </c>
      <c r="M353" t="s">
        <v>1411</v>
      </c>
    </row>
    <row r="354" spans="1:13">
      <c r="A354" t="s">
        <v>720</v>
      </c>
      <c r="B354" s="6">
        <v>46057</v>
      </c>
      <c r="C354" t="s">
        <v>158</v>
      </c>
      <c r="D354" t="s">
        <v>144</v>
      </c>
      <c r="E354" t="s">
        <v>104</v>
      </c>
      <c r="F354" t="s">
        <v>36</v>
      </c>
      <c r="G354" t="s">
        <v>141</v>
      </c>
      <c r="H354">
        <v>1</v>
      </c>
      <c r="I354">
        <v>999</v>
      </c>
      <c r="J354">
        <v>999</v>
      </c>
      <c r="K354" t="s">
        <v>17</v>
      </c>
      <c r="L354" t="s">
        <v>1409</v>
      </c>
      <c r="M354" t="s">
        <v>1410</v>
      </c>
    </row>
    <row r="355" spans="1:13">
      <c r="A355" t="s">
        <v>721</v>
      </c>
      <c r="B355" s="6">
        <v>46039</v>
      </c>
      <c r="C355" t="s">
        <v>318</v>
      </c>
      <c r="D355" t="s">
        <v>319</v>
      </c>
      <c r="E355" t="s">
        <v>21</v>
      </c>
      <c r="F355" t="s">
        <v>47</v>
      </c>
      <c r="G355" t="s">
        <v>128</v>
      </c>
      <c r="H355">
        <v>1</v>
      </c>
      <c r="I355">
        <v>1199</v>
      </c>
      <c r="J355">
        <v>1199</v>
      </c>
      <c r="K355" t="s">
        <v>17</v>
      </c>
      <c r="L355" t="s">
        <v>1409</v>
      </c>
      <c r="M355" t="s">
        <v>1413</v>
      </c>
    </row>
    <row r="356" spans="1:13">
      <c r="A356" t="s">
        <v>722</v>
      </c>
      <c r="B356" s="6">
        <v>46151</v>
      </c>
      <c r="C356" t="s">
        <v>291</v>
      </c>
      <c r="D356" t="s">
        <v>340</v>
      </c>
      <c r="E356" t="s">
        <v>14</v>
      </c>
      <c r="F356" t="s">
        <v>22</v>
      </c>
      <c r="G356" t="s">
        <v>23</v>
      </c>
      <c r="H356">
        <v>1</v>
      </c>
      <c r="I356">
        <v>3299</v>
      </c>
      <c r="J356">
        <v>3299</v>
      </c>
      <c r="K356" t="s">
        <v>17</v>
      </c>
      <c r="L356" t="s">
        <v>1409</v>
      </c>
      <c r="M356" t="s">
        <v>1415</v>
      </c>
    </row>
    <row r="357" spans="1:13">
      <c r="A357" t="s">
        <v>723</v>
      </c>
      <c r="B357" s="6">
        <v>46084</v>
      </c>
      <c r="C357" t="s">
        <v>660</v>
      </c>
      <c r="D357" t="s">
        <v>661</v>
      </c>
      <c r="E357" t="s">
        <v>21</v>
      </c>
      <c r="F357" t="s">
        <v>25</v>
      </c>
      <c r="G357" t="s">
        <v>115</v>
      </c>
      <c r="H357">
        <v>1</v>
      </c>
      <c r="I357">
        <v>3999</v>
      </c>
      <c r="J357">
        <v>3999</v>
      </c>
      <c r="K357" t="s">
        <v>17</v>
      </c>
      <c r="L357" t="s">
        <v>1409</v>
      </c>
      <c r="M357" t="s">
        <v>1412</v>
      </c>
    </row>
    <row r="358" spans="1:13">
      <c r="A358" t="s">
        <v>724</v>
      </c>
      <c r="B358" s="6">
        <v>46114</v>
      </c>
      <c r="C358" t="s">
        <v>369</v>
      </c>
      <c r="D358" t="s">
        <v>370</v>
      </c>
      <c r="E358" t="s">
        <v>89</v>
      </c>
      <c r="F358" t="s">
        <v>15</v>
      </c>
      <c r="G358" t="s">
        <v>16</v>
      </c>
      <c r="H358">
        <v>1</v>
      </c>
      <c r="I358">
        <v>1999</v>
      </c>
      <c r="J358">
        <v>1999</v>
      </c>
      <c r="K358" t="s">
        <v>17</v>
      </c>
      <c r="L358" t="s">
        <v>1409</v>
      </c>
      <c r="M358" t="s">
        <v>1411</v>
      </c>
    </row>
    <row r="359" spans="1:13">
      <c r="A359" t="s">
        <v>725</v>
      </c>
      <c r="B359" s="6">
        <v>46112</v>
      </c>
      <c r="C359" t="s">
        <v>557</v>
      </c>
      <c r="D359" t="s">
        <v>558</v>
      </c>
      <c r="E359" t="s">
        <v>30</v>
      </c>
      <c r="F359" t="s">
        <v>36</v>
      </c>
      <c r="G359" t="s">
        <v>141</v>
      </c>
      <c r="H359">
        <v>1</v>
      </c>
      <c r="I359">
        <v>999</v>
      </c>
      <c r="J359">
        <v>999</v>
      </c>
      <c r="K359" t="s">
        <v>17</v>
      </c>
      <c r="L359" t="s">
        <v>1409</v>
      </c>
      <c r="M359" t="s">
        <v>1412</v>
      </c>
    </row>
    <row r="360" spans="1:13">
      <c r="A360" t="s">
        <v>726</v>
      </c>
      <c r="B360" s="6">
        <v>46174</v>
      </c>
      <c r="C360" t="s">
        <v>486</v>
      </c>
      <c r="D360" t="s">
        <v>727</v>
      </c>
      <c r="E360" t="s">
        <v>64</v>
      </c>
      <c r="F360" t="s">
        <v>36</v>
      </c>
      <c r="G360" t="s">
        <v>141</v>
      </c>
      <c r="H360">
        <v>2</v>
      </c>
      <c r="I360">
        <v>999</v>
      </c>
      <c r="J360">
        <v>1998</v>
      </c>
      <c r="K360" t="s">
        <v>17</v>
      </c>
      <c r="L360" t="s">
        <v>1409</v>
      </c>
      <c r="M360" t="s">
        <v>1414</v>
      </c>
    </row>
    <row r="361" spans="1:13">
      <c r="A361" t="s">
        <v>728</v>
      </c>
      <c r="B361" s="6">
        <v>46080</v>
      </c>
      <c r="C361" t="s">
        <v>283</v>
      </c>
      <c r="D361" t="s">
        <v>227</v>
      </c>
      <c r="E361" t="s">
        <v>104</v>
      </c>
      <c r="F361" t="s">
        <v>25</v>
      </c>
      <c r="G361" t="s">
        <v>69</v>
      </c>
      <c r="H361">
        <v>1</v>
      </c>
      <c r="I361">
        <v>2199</v>
      </c>
      <c r="J361">
        <v>2199</v>
      </c>
      <c r="K361" t="s">
        <v>17</v>
      </c>
      <c r="L361" t="s">
        <v>1409</v>
      </c>
      <c r="M361" t="s">
        <v>1410</v>
      </c>
    </row>
    <row r="362" spans="1:13">
      <c r="A362" t="s">
        <v>729</v>
      </c>
      <c r="B362" s="6">
        <v>46042</v>
      </c>
      <c r="C362" t="s">
        <v>504</v>
      </c>
      <c r="D362" t="s">
        <v>505</v>
      </c>
      <c r="E362" t="s">
        <v>217</v>
      </c>
      <c r="F362" t="s">
        <v>15</v>
      </c>
      <c r="G362" t="s">
        <v>16</v>
      </c>
      <c r="H362">
        <v>1</v>
      </c>
      <c r="I362">
        <v>1999</v>
      </c>
      <c r="J362">
        <v>1999</v>
      </c>
      <c r="K362" t="s">
        <v>17</v>
      </c>
      <c r="L362" t="s">
        <v>1409</v>
      </c>
      <c r="M362" t="s">
        <v>1413</v>
      </c>
    </row>
    <row r="363" spans="1:13">
      <c r="A363" t="s">
        <v>730</v>
      </c>
      <c r="B363" s="6">
        <v>46186</v>
      </c>
      <c r="C363" t="s">
        <v>731</v>
      </c>
      <c r="D363" t="s">
        <v>401</v>
      </c>
      <c r="E363" t="s">
        <v>104</v>
      </c>
      <c r="F363" t="s">
        <v>47</v>
      </c>
      <c r="G363" t="s">
        <v>56</v>
      </c>
      <c r="H363">
        <v>1</v>
      </c>
      <c r="I363">
        <v>3499</v>
      </c>
      <c r="J363">
        <v>3499</v>
      </c>
      <c r="K363" t="s">
        <v>17</v>
      </c>
      <c r="L363" t="s">
        <v>1409</v>
      </c>
      <c r="M363" t="s">
        <v>1414</v>
      </c>
    </row>
    <row r="364" spans="1:13">
      <c r="A364" t="s">
        <v>732</v>
      </c>
      <c r="B364" s="6">
        <v>46042</v>
      </c>
      <c r="C364" t="s">
        <v>583</v>
      </c>
      <c r="D364" t="s">
        <v>131</v>
      </c>
      <c r="E364" t="s">
        <v>21</v>
      </c>
      <c r="F364" t="s">
        <v>15</v>
      </c>
      <c r="G364" t="s">
        <v>16</v>
      </c>
      <c r="H364">
        <v>1</v>
      </c>
      <c r="I364">
        <v>1999</v>
      </c>
      <c r="J364">
        <v>1999</v>
      </c>
      <c r="K364" t="s">
        <v>17</v>
      </c>
      <c r="L364" t="s">
        <v>1409</v>
      </c>
      <c r="M364" t="s">
        <v>1413</v>
      </c>
    </row>
    <row r="365" spans="1:13">
      <c r="A365" t="s">
        <v>733</v>
      </c>
      <c r="B365" s="6">
        <v>46097</v>
      </c>
      <c r="C365" t="s">
        <v>430</v>
      </c>
      <c r="D365" t="s">
        <v>431</v>
      </c>
      <c r="E365" t="s">
        <v>104</v>
      </c>
      <c r="F365" t="s">
        <v>25</v>
      </c>
      <c r="G365" t="s">
        <v>115</v>
      </c>
      <c r="H365">
        <v>1</v>
      </c>
      <c r="I365">
        <v>3999</v>
      </c>
      <c r="J365">
        <v>3999</v>
      </c>
      <c r="K365" t="s">
        <v>17</v>
      </c>
      <c r="L365" t="s">
        <v>1409</v>
      </c>
      <c r="M365" t="s">
        <v>1412</v>
      </c>
    </row>
    <row r="366" spans="1:13">
      <c r="A366" t="s">
        <v>734</v>
      </c>
      <c r="B366" s="6">
        <v>46182</v>
      </c>
      <c r="C366" t="s">
        <v>1417</v>
      </c>
      <c r="D366" t="s">
        <v>431</v>
      </c>
      <c r="E366" t="s">
        <v>104</v>
      </c>
      <c r="F366" t="s">
        <v>36</v>
      </c>
      <c r="G366" t="s">
        <v>37</v>
      </c>
      <c r="H366">
        <v>2</v>
      </c>
      <c r="I366">
        <v>2299</v>
      </c>
      <c r="J366">
        <v>4598</v>
      </c>
      <c r="K366" t="s">
        <v>17</v>
      </c>
      <c r="L366" t="s">
        <v>1409</v>
      </c>
      <c r="M366" t="s">
        <v>1414</v>
      </c>
    </row>
    <row r="367" spans="1:13">
      <c r="A367" t="s">
        <v>735</v>
      </c>
      <c r="B367" s="6">
        <v>46033</v>
      </c>
      <c r="C367" t="s">
        <v>308</v>
      </c>
      <c r="D367" t="s">
        <v>309</v>
      </c>
      <c r="E367" t="s">
        <v>104</v>
      </c>
      <c r="F367" t="s">
        <v>36</v>
      </c>
      <c r="G367" t="s">
        <v>151</v>
      </c>
      <c r="H367">
        <v>2</v>
      </c>
      <c r="I367">
        <v>799</v>
      </c>
      <c r="J367">
        <v>1598</v>
      </c>
      <c r="K367" t="s">
        <v>17</v>
      </c>
      <c r="L367" t="s">
        <v>1409</v>
      </c>
      <c r="M367" t="s">
        <v>1413</v>
      </c>
    </row>
    <row r="368" spans="1:13">
      <c r="A368" t="s">
        <v>737</v>
      </c>
      <c r="B368" s="6">
        <v>46185</v>
      </c>
      <c r="C368" t="s">
        <v>164</v>
      </c>
      <c r="D368" t="s">
        <v>165</v>
      </c>
      <c r="E368" t="s">
        <v>104</v>
      </c>
      <c r="F368" t="s">
        <v>22</v>
      </c>
      <c r="G368" t="s">
        <v>23</v>
      </c>
      <c r="H368">
        <v>3</v>
      </c>
      <c r="I368">
        <v>3299</v>
      </c>
      <c r="J368">
        <v>9897</v>
      </c>
      <c r="K368" t="s">
        <v>17</v>
      </c>
      <c r="L368" t="s">
        <v>1409</v>
      </c>
      <c r="M368" t="s">
        <v>1414</v>
      </c>
    </row>
    <row r="369" spans="1:13">
      <c r="A369" t="s">
        <v>738</v>
      </c>
      <c r="B369" s="6">
        <v>46135</v>
      </c>
      <c r="C369" t="s">
        <v>655</v>
      </c>
      <c r="D369" t="s">
        <v>325</v>
      </c>
      <c r="E369" t="s">
        <v>217</v>
      </c>
      <c r="F369" t="s">
        <v>15</v>
      </c>
      <c r="G369" t="s">
        <v>162</v>
      </c>
      <c r="H369">
        <v>1</v>
      </c>
      <c r="I369">
        <v>1599</v>
      </c>
      <c r="J369">
        <v>1599</v>
      </c>
      <c r="K369" t="s">
        <v>17</v>
      </c>
      <c r="L369" t="s">
        <v>1409</v>
      </c>
      <c r="M369" t="s">
        <v>1411</v>
      </c>
    </row>
    <row r="370" spans="1:13">
      <c r="A370" t="s">
        <v>739</v>
      </c>
      <c r="B370" s="6">
        <v>46081</v>
      </c>
      <c r="C370" t="s">
        <v>372</v>
      </c>
      <c r="D370" t="s">
        <v>331</v>
      </c>
      <c r="E370" t="s">
        <v>21</v>
      </c>
      <c r="F370" t="s">
        <v>47</v>
      </c>
      <c r="G370" t="s">
        <v>128</v>
      </c>
      <c r="H370">
        <v>1</v>
      </c>
      <c r="I370">
        <v>1199</v>
      </c>
      <c r="J370">
        <v>1199</v>
      </c>
      <c r="K370" t="s">
        <v>17</v>
      </c>
      <c r="L370" t="s">
        <v>1409</v>
      </c>
      <c r="M370" t="s">
        <v>1410</v>
      </c>
    </row>
    <row r="371" spans="1:13">
      <c r="A371" t="s">
        <v>740</v>
      </c>
      <c r="B371" s="6">
        <v>46150</v>
      </c>
      <c r="C371" t="s">
        <v>80</v>
      </c>
      <c r="D371" t="s">
        <v>81</v>
      </c>
      <c r="E371" t="s">
        <v>30</v>
      </c>
      <c r="F371" t="s">
        <v>15</v>
      </c>
      <c r="G371" t="s">
        <v>16</v>
      </c>
      <c r="H371">
        <v>3</v>
      </c>
      <c r="I371">
        <v>1999</v>
      </c>
      <c r="J371">
        <v>5997</v>
      </c>
      <c r="K371" t="s">
        <v>17</v>
      </c>
      <c r="L371" t="s">
        <v>1409</v>
      </c>
      <c r="M371" t="s">
        <v>1415</v>
      </c>
    </row>
    <row r="372" spans="1:13">
      <c r="A372" t="s">
        <v>741</v>
      </c>
      <c r="B372" s="6">
        <v>46054</v>
      </c>
      <c r="C372" t="s">
        <v>585</v>
      </c>
      <c r="D372" t="s">
        <v>313</v>
      </c>
      <c r="E372" t="s">
        <v>30</v>
      </c>
      <c r="F372" t="s">
        <v>36</v>
      </c>
      <c r="G372" t="s">
        <v>151</v>
      </c>
      <c r="H372">
        <v>2</v>
      </c>
      <c r="I372">
        <v>799</v>
      </c>
      <c r="J372">
        <v>1598</v>
      </c>
      <c r="K372" t="s">
        <v>17</v>
      </c>
      <c r="L372" t="s">
        <v>1409</v>
      </c>
      <c r="M372" t="s">
        <v>1410</v>
      </c>
    </row>
    <row r="373" spans="1:13">
      <c r="A373" t="s">
        <v>742</v>
      </c>
      <c r="B373" s="6">
        <v>46129</v>
      </c>
      <c r="C373" t="s">
        <v>216</v>
      </c>
      <c r="D373" t="s">
        <v>202</v>
      </c>
      <c r="E373" t="s">
        <v>217</v>
      </c>
      <c r="F373" t="s">
        <v>15</v>
      </c>
      <c r="G373" t="s">
        <v>16</v>
      </c>
      <c r="H373">
        <v>1</v>
      </c>
      <c r="I373">
        <v>1999</v>
      </c>
      <c r="J373">
        <v>1999</v>
      </c>
      <c r="K373" t="s">
        <v>17</v>
      </c>
      <c r="L373" t="s">
        <v>1409</v>
      </c>
      <c r="M373" t="s">
        <v>1411</v>
      </c>
    </row>
    <row r="374" spans="1:13">
      <c r="A374" t="s">
        <v>743</v>
      </c>
      <c r="B374" s="6">
        <v>46108</v>
      </c>
      <c r="C374" t="s">
        <v>380</v>
      </c>
      <c r="D374" t="s">
        <v>202</v>
      </c>
      <c r="E374" t="s">
        <v>14</v>
      </c>
      <c r="F374" t="s">
        <v>47</v>
      </c>
      <c r="G374" t="s">
        <v>56</v>
      </c>
      <c r="H374">
        <v>3</v>
      </c>
      <c r="I374">
        <v>3499</v>
      </c>
      <c r="J374">
        <v>10497</v>
      </c>
      <c r="K374" t="s">
        <v>17</v>
      </c>
      <c r="L374" t="s">
        <v>1409</v>
      </c>
      <c r="M374" t="s">
        <v>1412</v>
      </c>
    </row>
    <row r="375" spans="1:13">
      <c r="A375" t="s">
        <v>744</v>
      </c>
      <c r="B375" s="6">
        <v>46155</v>
      </c>
      <c r="C375" t="s">
        <v>375</v>
      </c>
      <c r="D375" t="s">
        <v>376</v>
      </c>
      <c r="E375" t="s">
        <v>89</v>
      </c>
      <c r="F375" t="s">
        <v>22</v>
      </c>
      <c r="G375" t="s">
        <v>23</v>
      </c>
      <c r="H375">
        <v>1</v>
      </c>
      <c r="I375">
        <v>3299</v>
      </c>
      <c r="J375">
        <v>3299</v>
      </c>
      <c r="K375" t="s">
        <v>17</v>
      </c>
      <c r="L375" t="s">
        <v>1409</v>
      </c>
      <c r="M375" t="s">
        <v>1415</v>
      </c>
    </row>
    <row r="376" spans="1:13">
      <c r="A376" t="s">
        <v>745</v>
      </c>
      <c r="B376" s="6">
        <v>46183</v>
      </c>
      <c r="C376" t="s">
        <v>391</v>
      </c>
      <c r="D376" t="s">
        <v>392</v>
      </c>
      <c r="E376" t="s">
        <v>217</v>
      </c>
      <c r="F376" t="s">
        <v>22</v>
      </c>
      <c r="G376" t="s">
        <v>43</v>
      </c>
      <c r="H376">
        <v>3</v>
      </c>
      <c r="I376">
        <v>1499</v>
      </c>
      <c r="J376">
        <v>4497</v>
      </c>
      <c r="K376" t="s">
        <v>17</v>
      </c>
      <c r="L376" t="s">
        <v>1409</v>
      </c>
      <c r="M376" t="s">
        <v>1414</v>
      </c>
    </row>
    <row r="377" spans="1:13">
      <c r="A377" t="s">
        <v>746</v>
      </c>
      <c r="B377" s="6">
        <v>46197</v>
      </c>
      <c r="C377" t="s">
        <v>19</v>
      </c>
      <c r="D377" t="s">
        <v>20</v>
      </c>
      <c r="E377" t="s">
        <v>21</v>
      </c>
      <c r="F377" t="s">
        <v>36</v>
      </c>
      <c r="G377" t="s">
        <v>37</v>
      </c>
      <c r="H377">
        <v>1</v>
      </c>
      <c r="I377">
        <v>2299</v>
      </c>
      <c r="J377">
        <v>2299</v>
      </c>
      <c r="K377" t="s">
        <v>17</v>
      </c>
      <c r="L377" t="s">
        <v>1409</v>
      </c>
      <c r="M377" t="s">
        <v>1414</v>
      </c>
    </row>
    <row r="378" spans="1:13">
      <c r="A378" t="s">
        <v>747</v>
      </c>
      <c r="B378" s="6">
        <v>46173</v>
      </c>
      <c r="C378" t="s">
        <v>232</v>
      </c>
      <c r="D378" t="s">
        <v>107</v>
      </c>
      <c r="E378" t="s">
        <v>73</v>
      </c>
      <c r="F378" t="s">
        <v>47</v>
      </c>
      <c r="G378" t="s">
        <v>100</v>
      </c>
      <c r="H378">
        <v>1</v>
      </c>
      <c r="I378">
        <v>2799</v>
      </c>
      <c r="J378">
        <v>2799</v>
      </c>
      <c r="K378" t="s">
        <v>17</v>
      </c>
      <c r="L378" t="s">
        <v>1409</v>
      </c>
      <c r="M378" t="s">
        <v>1415</v>
      </c>
    </row>
    <row r="379" spans="1:13">
      <c r="A379" t="s">
        <v>748</v>
      </c>
      <c r="B379" s="6">
        <v>46129</v>
      </c>
      <c r="C379" t="s">
        <v>155</v>
      </c>
      <c r="D379" t="s">
        <v>156</v>
      </c>
      <c r="E379" t="s">
        <v>89</v>
      </c>
      <c r="F379" t="s">
        <v>15</v>
      </c>
      <c r="G379" t="s">
        <v>52</v>
      </c>
      <c r="H379">
        <v>1</v>
      </c>
      <c r="I379">
        <v>899</v>
      </c>
      <c r="J379">
        <v>899</v>
      </c>
      <c r="K379" t="s">
        <v>17</v>
      </c>
      <c r="L379" t="s">
        <v>1409</v>
      </c>
      <c r="M379" t="s">
        <v>1411</v>
      </c>
    </row>
    <row r="380" spans="1:13">
      <c r="A380" t="s">
        <v>749</v>
      </c>
      <c r="B380" s="6">
        <v>46122</v>
      </c>
      <c r="C380" t="s">
        <v>499</v>
      </c>
      <c r="D380" t="s">
        <v>59</v>
      </c>
      <c r="E380" t="s">
        <v>21</v>
      </c>
      <c r="F380" t="s">
        <v>36</v>
      </c>
      <c r="G380" t="s">
        <v>141</v>
      </c>
      <c r="H380">
        <v>1</v>
      </c>
      <c r="I380">
        <v>999</v>
      </c>
      <c r="J380">
        <v>999</v>
      </c>
      <c r="K380" t="s">
        <v>17</v>
      </c>
      <c r="L380" t="s">
        <v>1409</v>
      </c>
      <c r="M380" t="s">
        <v>1411</v>
      </c>
    </row>
    <row r="381" spans="1:13">
      <c r="A381" t="s">
        <v>750</v>
      </c>
      <c r="B381" s="6">
        <v>46093</v>
      </c>
      <c r="C381" t="s">
        <v>1417</v>
      </c>
      <c r="D381" t="s">
        <v>593</v>
      </c>
      <c r="E381" t="s">
        <v>73</v>
      </c>
      <c r="F381" t="s">
        <v>25</v>
      </c>
      <c r="G381" t="s">
        <v>115</v>
      </c>
      <c r="H381">
        <v>2</v>
      </c>
      <c r="I381">
        <v>3999</v>
      </c>
      <c r="J381">
        <v>7998</v>
      </c>
      <c r="K381" t="s">
        <v>17</v>
      </c>
      <c r="L381" t="s">
        <v>1409</v>
      </c>
      <c r="M381" t="s">
        <v>1412</v>
      </c>
    </row>
    <row r="382" spans="1:13">
      <c r="A382" t="s">
        <v>751</v>
      </c>
      <c r="B382" s="6">
        <v>46131</v>
      </c>
      <c r="C382" t="s">
        <v>58</v>
      </c>
      <c r="D382" t="s">
        <v>59</v>
      </c>
      <c r="E382" t="s">
        <v>14</v>
      </c>
      <c r="F382" t="s">
        <v>36</v>
      </c>
      <c r="G382" t="s">
        <v>37</v>
      </c>
      <c r="H382">
        <v>1</v>
      </c>
      <c r="I382">
        <v>2299</v>
      </c>
      <c r="J382">
        <v>2299</v>
      </c>
      <c r="K382" t="s">
        <v>17</v>
      </c>
      <c r="L382" t="s">
        <v>1409</v>
      </c>
      <c r="M382" t="s">
        <v>1411</v>
      </c>
    </row>
    <row r="383" spans="1:13">
      <c r="A383" t="s">
        <v>752</v>
      </c>
      <c r="B383" s="6">
        <v>46185</v>
      </c>
      <c r="C383" t="s">
        <v>324</v>
      </c>
      <c r="D383" t="s">
        <v>325</v>
      </c>
      <c r="E383" t="s">
        <v>30</v>
      </c>
      <c r="F383" t="s">
        <v>47</v>
      </c>
      <c r="G383" t="s">
        <v>100</v>
      </c>
      <c r="H383">
        <v>1</v>
      </c>
      <c r="I383">
        <v>2799</v>
      </c>
      <c r="J383">
        <v>2799</v>
      </c>
      <c r="K383" t="s">
        <v>17</v>
      </c>
      <c r="L383" t="s">
        <v>1409</v>
      </c>
      <c r="M383" t="s">
        <v>1414</v>
      </c>
    </row>
    <row r="384" spans="1:13">
      <c r="A384" t="s">
        <v>753</v>
      </c>
      <c r="B384" s="6">
        <v>46146</v>
      </c>
      <c r="C384" t="s">
        <v>391</v>
      </c>
      <c r="D384" t="s">
        <v>392</v>
      </c>
      <c r="E384" t="s">
        <v>217</v>
      </c>
      <c r="F384" t="s">
        <v>47</v>
      </c>
      <c r="G384" t="s">
        <v>100</v>
      </c>
      <c r="H384">
        <v>3</v>
      </c>
      <c r="I384">
        <v>2799</v>
      </c>
      <c r="J384">
        <v>8397</v>
      </c>
      <c r="K384" t="s">
        <v>17</v>
      </c>
      <c r="L384" t="s">
        <v>1409</v>
      </c>
      <c r="M384" t="s">
        <v>1415</v>
      </c>
    </row>
    <row r="385" spans="1:13">
      <c r="A385" t="s">
        <v>755</v>
      </c>
      <c r="B385" s="6">
        <v>46181</v>
      </c>
      <c r="C385" t="s">
        <v>45</v>
      </c>
      <c r="D385" t="s">
        <v>46</v>
      </c>
      <c r="E385" t="s">
        <v>14</v>
      </c>
      <c r="F385" t="s">
        <v>22</v>
      </c>
      <c r="G385" t="s">
        <v>138</v>
      </c>
      <c r="H385">
        <v>1</v>
      </c>
      <c r="I385">
        <v>599</v>
      </c>
      <c r="J385">
        <v>599</v>
      </c>
      <c r="K385" t="s">
        <v>17</v>
      </c>
      <c r="L385" t="s">
        <v>1409</v>
      </c>
      <c r="M385" t="s">
        <v>1414</v>
      </c>
    </row>
    <row r="386" spans="1:13">
      <c r="A386" t="s">
        <v>756</v>
      </c>
      <c r="B386" s="6">
        <v>46080</v>
      </c>
      <c r="C386" t="s">
        <v>304</v>
      </c>
      <c r="D386" t="s">
        <v>305</v>
      </c>
      <c r="E386" t="s">
        <v>21</v>
      </c>
      <c r="F386" t="s">
        <v>25</v>
      </c>
      <c r="G386" t="s">
        <v>115</v>
      </c>
      <c r="H386">
        <v>1</v>
      </c>
      <c r="I386">
        <v>3999</v>
      </c>
      <c r="J386">
        <v>3999</v>
      </c>
      <c r="K386" t="s">
        <v>17</v>
      </c>
      <c r="L386" t="s">
        <v>1409</v>
      </c>
      <c r="M386" t="s">
        <v>1410</v>
      </c>
    </row>
    <row r="387" spans="1:13">
      <c r="A387" t="s">
        <v>757</v>
      </c>
      <c r="B387" s="6">
        <v>46172</v>
      </c>
      <c r="C387" t="s">
        <v>87</v>
      </c>
      <c r="D387" t="s">
        <v>88</v>
      </c>
      <c r="E387" t="s">
        <v>89</v>
      </c>
      <c r="F387" t="s">
        <v>25</v>
      </c>
      <c r="G387" t="s">
        <v>31</v>
      </c>
      <c r="H387">
        <v>1</v>
      </c>
      <c r="I387">
        <v>1799</v>
      </c>
      <c r="J387">
        <v>1799</v>
      </c>
      <c r="K387" t="s">
        <v>17</v>
      </c>
      <c r="L387" t="s">
        <v>1409</v>
      </c>
      <c r="M387" t="s">
        <v>1415</v>
      </c>
    </row>
    <row r="388" spans="1:13">
      <c r="A388" t="s">
        <v>758</v>
      </c>
      <c r="B388" s="6">
        <v>46187</v>
      </c>
      <c r="C388" t="s">
        <v>635</v>
      </c>
      <c r="D388" t="s">
        <v>51</v>
      </c>
      <c r="E388" t="s">
        <v>30</v>
      </c>
      <c r="F388" t="s">
        <v>15</v>
      </c>
      <c r="G388" t="s">
        <v>162</v>
      </c>
      <c r="H388">
        <v>1</v>
      </c>
      <c r="I388">
        <v>1599</v>
      </c>
      <c r="J388">
        <v>1599</v>
      </c>
      <c r="K388" t="s">
        <v>17</v>
      </c>
      <c r="L388" t="s">
        <v>1409</v>
      </c>
      <c r="M388" t="s">
        <v>1414</v>
      </c>
    </row>
    <row r="389" spans="1:13">
      <c r="A389" t="s">
        <v>759</v>
      </c>
      <c r="B389" s="6">
        <v>46138</v>
      </c>
      <c r="C389" t="s">
        <v>490</v>
      </c>
      <c r="D389" t="s">
        <v>491</v>
      </c>
      <c r="E389" t="s">
        <v>217</v>
      </c>
      <c r="F389" t="s">
        <v>47</v>
      </c>
      <c r="G389" t="s">
        <v>56</v>
      </c>
      <c r="H389">
        <v>1</v>
      </c>
      <c r="I389">
        <v>3499</v>
      </c>
      <c r="J389">
        <v>3499</v>
      </c>
      <c r="K389" t="s">
        <v>17</v>
      </c>
      <c r="L389" t="s">
        <v>1409</v>
      </c>
      <c r="M389" t="s">
        <v>1411</v>
      </c>
    </row>
    <row r="390" spans="1:13">
      <c r="A390" t="s">
        <v>760</v>
      </c>
      <c r="B390" s="6">
        <v>46067</v>
      </c>
      <c r="C390" t="s">
        <v>761</v>
      </c>
      <c r="D390" t="s">
        <v>762</v>
      </c>
      <c r="E390" t="s">
        <v>30</v>
      </c>
      <c r="F390" t="s">
        <v>36</v>
      </c>
      <c r="G390" t="s">
        <v>141</v>
      </c>
      <c r="H390">
        <v>2</v>
      </c>
      <c r="I390">
        <v>999</v>
      </c>
      <c r="J390">
        <v>1998</v>
      </c>
      <c r="K390" t="s">
        <v>17</v>
      </c>
      <c r="L390" t="s">
        <v>1409</v>
      </c>
      <c r="M390" t="s">
        <v>1410</v>
      </c>
    </row>
    <row r="391" spans="1:13">
      <c r="A391" t="s">
        <v>763</v>
      </c>
      <c r="B391" s="6">
        <v>46075</v>
      </c>
      <c r="C391" t="s">
        <v>764</v>
      </c>
      <c r="D391" t="s">
        <v>180</v>
      </c>
      <c r="E391" t="s">
        <v>89</v>
      </c>
      <c r="F391" t="s">
        <v>15</v>
      </c>
      <c r="G391" t="s">
        <v>16</v>
      </c>
      <c r="H391">
        <v>1</v>
      </c>
      <c r="I391">
        <v>1999</v>
      </c>
      <c r="J391">
        <v>1999</v>
      </c>
      <c r="K391" t="s">
        <v>17</v>
      </c>
      <c r="L391" t="s">
        <v>1409</v>
      </c>
      <c r="M391" t="s">
        <v>1410</v>
      </c>
    </row>
    <row r="392" spans="1:13">
      <c r="A392" t="s">
        <v>765</v>
      </c>
      <c r="B392" s="6">
        <v>46170</v>
      </c>
      <c r="C392" t="s">
        <v>33</v>
      </c>
      <c r="D392" t="s">
        <v>34</v>
      </c>
      <c r="E392" t="s">
        <v>14</v>
      </c>
      <c r="F392" t="s">
        <v>36</v>
      </c>
      <c r="G392" t="s">
        <v>141</v>
      </c>
      <c r="H392">
        <v>1</v>
      </c>
      <c r="I392">
        <v>999</v>
      </c>
      <c r="J392">
        <v>999</v>
      </c>
      <c r="K392" t="s">
        <v>17</v>
      </c>
      <c r="L392" t="s">
        <v>1409</v>
      </c>
      <c r="M392" t="s">
        <v>1415</v>
      </c>
    </row>
    <row r="393" spans="1:13">
      <c r="A393" t="s">
        <v>766</v>
      </c>
      <c r="B393" s="6">
        <v>46040</v>
      </c>
      <c r="C393" t="s">
        <v>450</v>
      </c>
      <c r="D393" t="s">
        <v>451</v>
      </c>
      <c r="E393" t="s">
        <v>64</v>
      </c>
      <c r="F393" t="s">
        <v>36</v>
      </c>
      <c r="G393" t="s">
        <v>151</v>
      </c>
      <c r="H393">
        <v>1</v>
      </c>
      <c r="I393">
        <v>799</v>
      </c>
      <c r="J393">
        <v>799</v>
      </c>
      <c r="K393" t="s">
        <v>17</v>
      </c>
      <c r="L393" t="s">
        <v>1409</v>
      </c>
      <c r="M393" t="s">
        <v>1413</v>
      </c>
    </row>
    <row r="394" spans="1:13">
      <c r="A394" t="s">
        <v>767</v>
      </c>
      <c r="B394" s="6">
        <v>46041</v>
      </c>
      <c r="C394" t="s">
        <v>422</v>
      </c>
      <c r="D394" t="s">
        <v>173</v>
      </c>
      <c r="E394" t="s">
        <v>217</v>
      </c>
      <c r="F394" t="s">
        <v>47</v>
      </c>
      <c r="G394" t="s">
        <v>56</v>
      </c>
      <c r="H394">
        <v>1</v>
      </c>
      <c r="I394">
        <v>3499</v>
      </c>
      <c r="J394">
        <v>3499</v>
      </c>
      <c r="K394" t="s">
        <v>17</v>
      </c>
      <c r="L394" t="s">
        <v>1409</v>
      </c>
      <c r="M394" t="s">
        <v>1413</v>
      </c>
    </row>
    <row r="395" spans="1:13">
      <c r="A395" t="s">
        <v>768</v>
      </c>
      <c r="B395" s="6">
        <v>46045</v>
      </c>
      <c r="C395" t="s">
        <v>544</v>
      </c>
      <c r="D395" t="s">
        <v>545</v>
      </c>
      <c r="E395" t="s">
        <v>14</v>
      </c>
      <c r="F395" t="s">
        <v>15</v>
      </c>
      <c r="G395" t="s">
        <v>162</v>
      </c>
      <c r="H395">
        <v>2</v>
      </c>
      <c r="I395">
        <v>1599</v>
      </c>
      <c r="J395">
        <v>3198</v>
      </c>
      <c r="K395" t="s">
        <v>17</v>
      </c>
      <c r="L395" t="s">
        <v>1409</v>
      </c>
      <c r="M395" t="s">
        <v>1413</v>
      </c>
    </row>
    <row r="396" spans="1:13">
      <c r="A396" t="s">
        <v>769</v>
      </c>
      <c r="B396" s="6">
        <v>46094</v>
      </c>
      <c r="C396" t="s">
        <v>499</v>
      </c>
      <c r="D396" t="s">
        <v>59</v>
      </c>
      <c r="E396" t="s">
        <v>21</v>
      </c>
      <c r="F396" t="s">
        <v>36</v>
      </c>
      <c r="G396" t="s">
        <v>151</v>
      </c>
      <c r="H396">
        <v>1</v>
      </c>
      <c r="I396">
        <v>799</v>
      </c>
      <c r="J396">
        <v>799</v>
      </c>
      <c r="K396" t="s">
        <v>17</v>
      </c>
      <c r="L396" t="s">
        <v>1409</v>
      </c>
      <c r="M396" t="s">
        <v>1412</v>
      </c>
    </row>
    <row r="397" spans="1:13">
      <c r="A397" t="s">
        <v>770</v>
      </c>
      <c r="B397" s="6">
        <v>46166</v>
      </c>
      <c r="C397" t="s">
        <v>106</v>
      </c>
      <c r="D397" t="s">
        <v>107</v>
      </c>
      <c r="E397" t="s">
        <v>21</v>
      </c>
      <c r="F397" t="s">
        <v>25</v>
      </c>
      <c r="G397" t="s">
        <v>69</v>
      </c>
      <c r="H397">
        <v>1</v>
      </c>
      <c r="I397">
        <v>2199</v>
      </c>
      <c r="J397">
        <v>2199</v>
      </c>
      <c r="K397" t="s">
        <v>17</v>
      </c>
      <c r="L397" t="s">
        <v>1409</v>
      </c>
      <c r="M397" t="s">
        <v>1415</v>
      </c>
    </row>
    <row r="398" spans="1:13">
      <c r="A398" t="s">
        <v>771</v>
      </c>
      <c r="B398" s="6">
        <v>46159</v>
      </c>
      <c r="C398" t="s">
        <v>149</v>
      </c>
      <c r="D398" t="s">
        <v>150</v>
      </c>
      <c r="E398" t="s">
        <v>1417</v>
      </c>
      <c r="F398" t="s">
        <v>25</v>
      </c>
      <c r="G398" t="s">
        <v>26</v>
      </c>
      <c r="H398">
        <v>1</v>
      </c>
      <c r="I398">
        <v>1299</v>
      </c>
      <c r="J398">
        <v>1299</v>
      </c>
      <c r="K398" t="s">
        <v>17</v>
      </c>
      <c r="L398" t="s">
        <v>1409</v>
      </c>
      <c r="M398" t="s">
        <v>1415</v>
      </c>
    </row>
    <row r="399" spans="1:13">
      <c r="A399" t="s">
        <v>772</v>
      </c>
      <c r="B399" s="6">
        <v>46029</v>
      </c>
      <c r="C399" t="s">
        <v>557</v>
      </c>
      <c r="D399" t="s">
        <v>558</v>
      </c>
      <c r="E399" t="s">
        <v>30</v>
      </c>
      <c r="F399" t="s">
        <v>25</v>
      </c>
      <c r="G399" t="s">
        <v>26</v>
      </c>
      <c r="H399">
        <v>1</v>
      </c>
      <c r="I399">
        <v>1299</v>
      </c>
      <c r="J399">
        <v>1299</v>
      </c>
      <c r="K399" t="s">
        <v>17</v>
      </c>
      <c r="L399" t="s">
        <v>1409</v>
      </c>
      <c r="M399" t="s">
        <v>1413</v>
      </c>
    </row>
    <row r="400" spans="1:13">
      <c r="A400" t="s">
        <v>773</v>
      </c>
      <c r="B400" s="6">
        <v>46134</v>
      </c>
      <c r="C400" t="s">
        <v>308</v>
      </c>
      <c r="D400" t="s">
        <v>309</v>
      </c>
      <c r="E400" t="s">
        <v>104</v>
      </c>
      <c r="F400" t="s">
        <v>47</v>
      </c>
      <c r="G400" t="s">
        <v>56</v>
      </c>
      <c r="H400">
        <v>2</v>
      </c>
      <c r="I400">
        <v>3499</v>
      </c>
      <c r="J400">
        <v>6998</v>
      </c>
      <c r="K400" t="s">
        <v>17</v>
      </c>
      <c r="L400" t="s">
        <v>1409</v>
      </c>
      <c r="M400" t="s">
        <v>1411</v>
      </c>
    </row>
    <row r="401" spans="1:13">
      <c r="A401" t="s">
        <v>774</v>
      </c>
      <c r="B401" s="6">
        <v>46063</v>
      </c>
      <c r="C401" t="s">
        <v>380</v>
      </c>
      <c r="D401" t="s">
        <v>202</v>
      </c>
      <c r="E401" t="s">
        <v>14</v>
      </c>
      <c r="F401" t="s">
        <v>15</v>
      </c>
      <c r="G401" t="s">
        <v>16</v>
      </c>
      <c r="H401">
        <v>1</v>
      </c>
      <c r="I401">
        <v>1999</v>
      </c>
      <c r="J401">
        <v>1999</v>
      </c>
      <c r="K401" t="s">
        <v>17</v>
      </c>
      <c r="L401" t="s">
        <v>1409</v>
      </c>
      <c r="M401" t="s">
        <v>1410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B88F-BF25-4CBD-8C64-EFC32C15A760}">
  <dimension ref="A1:F375"/>
  <sheetViews>
    <sheetView workbookViewId="0">
      <selection activeCell="I11" sqref="I11"/>
    </sheetView>
  </sheetViews>
  <sheetFormatPr defaultRowHeight="15"/>
  <cols>
    <col min="1" max="1" width="14" bestFit="1" customWidth="1"/>
    <col min="2" max="2" width="11.28515625" bestFit="1" customWidth="1"/>
    <col min="3" max="3" width="16.42578125" bestFit="1" customWidth="1"/>
    <col min="4" max="4" width="17.5703125" bestFit="1" customWidth="1"/>
    <col min="5" max="5" width="15.42578125" bestFit="1" customWidth="1"/>
    <col min="6" max="6" width="17.7109375" bestFit="1" customWidth="1"/>
  </cols>
  <sheetData>
    <row r="1" spans="1:6">
      <c r="A1" t="s">
        <v>775</v>
      </c>
      <c r="B1" t="s">
        <v>0</v>
      </c>
      <c r="C1" t="s">
        <v>776</v>
      </c>
      <c r="D1" t="s">
        <v>777</v>
      </c>
      <c r="E1" t="s">
        <v>778</v>
      </c>
      <c r="F1" t="s">
        <v>779</v>
      </c>
    </row>
    <row r="2" spans="1:6">
      <c r="A2" t="s">
        <v>780</v>
      </c>
      <c r="B2" t="s">
        <v>532</v>
      </c>
      <c r="C2" s="6">
        <v>46057</v>
      </c>
      <c r="D2" t="s">
        <v>781</v>
      </c>
      <c r="E2">
        <v>1599</v>
      </c>
      <c r="F2" t="s">
        <v>782</v>
      </c>
    </row>
    <row r="3" spans="1:6">
      <c r="A3" t="s">
        <v>783</v>
      </c>
      <c r="B3" t="s">
        <v>61</v>
      </c>
      <c r="C3" s="6">
        <v>46186</v>
      </c>
      <c r="D3" t="s">
        <v>784</v>
      </c>
      <c r="E3">
        <v>3998</v>
      </c>
      <c r="F3" t="s">
        <v>782</v>
      </c>
    </row>
    <row r="4" spans="1:6">
      <c r="A4" t="s">
        <v>785</v>
      </c>
      <c r="B4" t="s">
        <v>221</v>
      </c>
      <c r="C4" s="6">
        <v>46151</v>
      </c>
      <c r="D4" t="s">
        <v>786</v>
      </c>
      <c r="E4">
        <v>999</v>
      </c>
      <c r="F4" t="s">
        <v>782</v>
      </c>
    </row>
    <row r="5" spans="1:6">
      <c r="A5" t="s">
        <v>787</v>
      </c>
      <c r="B5" t="s">
        <v>629</v>
      </c>
      <c r="C5" s="6">
        <v>46107</v>
      </c>
      <c r="D5" t="s">
        <v>788</v>
      </c>
      <c r="E5">
        <v>899</v>
      </c>
      <c r="F5" t="s">
        <v>782</v>
      </c>
    </row>
    <row r="6" spans="1:6">
      <c r="A6" t="s">
        <v>789</v>
      </c>
      <c r="B6" t="s">
        <v>601</v>
      </c>
      <c r="C6" s="6">
        <v>46154</v>
      </c>
      <c r="D6" t="s">
        <v>790</v>
      </c>
      <c r="E6">
        <v>1999</v>
      </c>
      <c r="F6" t="s">
        <v>782</v>
      </c>
    </row>
    <row r="7" spans="1:6">
      <c r="A7" t="s">
        <v>791</v>
      </c>
      <c r="B7" t="s">
        <v>642</v>
      </c>
      <c r="C7" s="6">
        <v>46194</v>
      </c>
      <c r="D7" t="s">
        <v>790</v>
      </c>
      <c r="E7">
        <v>2199</v>
      </c>
      <c r="F7" t="s">
        <v>792</v>
      </c>
    </row>
    <row r="8" spans="1:6">
      <c r="A8" t="s">
        <v>793</v>
      </c>
      <c r="B8" t="s">
        <v>385</v>
      </c>
      <c r="C8" s="6">
        <v>46121</v>
      </c>
      <c r="D8" t="s">
        <v>788</v>
      </c>
      <c r="E8">
        <v>1599</v>
      </c>
      <c r="F8" t="s">
        <v>782</v>
      </c>
    </row>
    <row r="9" spans="1:6">
      <c r="A9" t="s">
        <v>794</v>
      </c>
      <c r="B9" t="s">
        <v>53</v>
      </c>
      <c r="C9" s="6">
        <v>46142</v>
      </c>
      <c r="D9" t="s">
        <v>784</v>
      </c>
      <c r="E9">
        <v>3499</v>
      </c>
      <c r="F9" t="s">
        <v>782</v>
      </c>
    </row>
    <row r="10" spans="1:6">
      <c r="A10" t="s">
        <v>795</v>
      </c>
      <c r="B10" t="s">
        <v>677</v>
      </c>
      <c r="C10" s="6">
        <v>46179</v>
      </c>
      <c r="D10" t="s">
        <v>781</v>
      </c>
      <c r="E10">
        <v>999</v>
      </c>
      <c r="F10" t="s">
        <v>782</v>
      </c>
    </row>
    <row r="11" spans="1:6">
      <c r="A11" t="s">
        <v>796</v>
      </c>
      <c r="B11" t="s">
        <v>643</v>
      </c>
      <c r="C11" s="6">
        <v>46060</v>
      </c>
      <c r="D11" t="s">
        <v>784</v>
      </c>
      <c r="E11">
        <v>799</v>
      </c>
      <c r="F11" t="s">
        <v>782</v>
      </c>
    </row>
    <row r="12" spans="1:6">
      <c r="A12" t="s">
        <v>797</v>
      </c>
      <c r="B12" t="s">
        <v>746</v>
      </c>
      <c r="C12" s="6">
        <v>46197</v>
      </c>
      <c r="D12" t="s">
        <v>784</v>
      </c>
      <c r="E12">
        <v>2299</v>
      </c>
      <c r="F12" t="s">
        <v>782</v>
      </c>
    </row>
    <row r="13" spans="1:6">
      <c r="A13" t="s">
        <v>798</v>
      </c>
      <c r="B13" t="s">
        <v>747</v>
      </c>
      <c r="C13" s="6">
        <v>46173</v>
      </c>
      <c r="D13" t="s">
        <v>788</v>
      </c>
      <c r="E13">
        <v>2799</v>
      </c>
      <c r="F13" t="s">
        <v>782</v>
      </c>
    </row>
    <row r="14" spans="1:6">
      <c r="A14" t="s">
        <v>800</v>
      </c>
      <c r="B14" t="s">
        <v>591</v>
      </c>
      <c r="C14" s="6">
        <v>46129</v>
      </c>
      <c r="D14" t="s">
        <v>786</v>
      </c>
      <c r="E14">
        <v>1199</v>
      </c>
      <c r="F14" t="s">
        <v>782</v>
      </c>
    </row>
    <row r="15" spans="1:6">
      <c r="A15" t="s">
        <v>801</v>
      </c>
      <c r="B15" t="s">
        <v>303</v>
      </c>
      <c r="C15" s="6">
        <v>46129</v>
      </c>
      <c r="D15" t="s">
        <v>781</v>
      </c>
      <c r="E15">
        <v>1999</v>
      </c>
      <c r="F15" t="s">
        <v>782</v>
      </c>
    </row>
    <row r="16" spans="1:6">
      <c r="A16" t="s">
        <v>802</v>
      </c>
      <c r="B16" t="s">
        <v>427</v>
      </c>
      <c r="C16" s="6">
        <v>46101</v>
      </c>
      <c r="D16" t="s">
        <v>788</v>
      </c>
      <c r="E16">
        <v>3499</v>
      </c>
      <c r="F16" t="s">
        <v>782</v>
      </c>
    </row>
    <row r="17" spans="1:6">
      <c r="A17" t="s">
        <v>803</v>
      </c>
      <c r="B17" t="s">
        <v>94</v>
      </c>
      <c r="C17" s="6">
        <v>46072</v>
      </c>
      <c r="D17" t="s">
        <v>784</v>
      </c>
      <c r="E17">
        <v>998</v>
      </c>
      <c r="F17" t="s">
        <v>782</v>
      </c>
    </row>
    <row r="18" spans="1:6">
      <c r="A18" t="s">
        <v>804</v>
      </c>
      <c r="B18" t="s">
        <v>652</v>
      </c>
      <c r="C18" s="6">
        <v>46067</v>
      </c>
      <c r="D18" t="s">
        <v>784</v>
      </c>
      <c r="E18">
        <v>6598</v>
      </c>
      <c r="F18" t="s">
        <v>782</v>
      </c>
    </row>
    <row r="19" spans="1:6">
      <c r="A19" t="s">
        <v>805</v>
      </c>
      <c r="B19" t="s">
        <v>711</v>
      </c>
      <c r="C19" s="6">
        <v>46030</v>
      </c>
      <c r="D19" t="s">
        <v>788</v>
      </c>
      <c r="E19">
        <v>1599</v>
      </c>
      <c r="F19" t="s">
        <v>782</v>
      </c>
    </row>
    <row r="20" spans="1:6">
      <c r="A20" t="s">
        <v>806</v>
      </c>
      <c r="B20" t="s">
        <v>571</v>
      </c>
      <c r="C20" s="6">
        <v>46204</v>
      </c>
      <c r="D20" t="s">
        <v>788</v>
      </c>
      <c r="E20">
        <v>2598</v>
      </c>
      <c r="F20" t="s">
        <v>782</v>
      </c>
    </row>
    <row r="21" spans="1:6">
      <c r="A21" t="s">
        <v>807</v>
      </c>
      <c r="B21" t="s">
        <v>200</v>
      </c>
      <c r="C21" s="6">
        <v>46098</v>
      </c>
      <c r="D21" t="s">
        <v>784</v>
      </c>
      <c r="E21">
        <v>3499</v>
      </c>
      <c r="F21" t="s">
        <v>782</v>
      </c>
    </row>
    <row r="22" spans="1:6">
      <c r="A22" t="s">
        <v>808</v>
      </c>
      <c r="B22" t="s">
        <v>656</v>
      </c>
      <c r="C22" s="6">
        <v>46160</v>
      </c>
      <c r="D22" t="s">
        <v>781</v>
      </c>
      <c r="E22">
        <v>1299</v>
      </c>
      <c r="F22" t="s">
        <v>782</v>
      </c>
    </row>
    <row r="23" spans="1:6">
      <c r="A23" t="s">
        <v>809</v>
      </c>
      <c r="B23" t="s">
        <v>575</v>
      </c>
      <c r="C23" s="6">
        <v>46162</v>
      </c>
      <c r="D23" t="s">
        <v>784</v>
      </c>
      <c r="E23">
        <v>3198</v>
      </c>
      <c r="F23" t="s">
        <v>782</v>
      </c>
    </row>
    <row r="24" spans="1:6">
      <c r="A24" t="s">
        <v>810</v>
      </c>
      <c r="B24" t="s">
        <v>512</v>
      </c>
      <c r="C24" s="6">
        <v>46073</v>
      </c>
      <c r="D24" t="s">
        <v>784</v>
      </c>
      <c r="E24">
        <v>1799</v>
      </c>
      <c r="F24" t="s">
        <v>782</v>
      </c>
    </row>
    <row r="25" spans="1:6">
      <c r="A25" t="s">
        <v>811</v>
      </c>
      <c r="B25" t="s">
        <v>514</v>
      </c>
      <c r="C25" s="6">
        <v>46148</v>
      </c>
      <c r="D25" t="s">
        <v>786</v>
      </c>
      <c r="E25">
        <v>6998</v>
      </c>
      <c r="F25" t="s">
        <v>782</v>
      </c>
    </row>
    <row r="26" spans="1:6">
      <c r="A26" t="s">
        <v>812</v>
      </c>
      <c r="B26" t="s">
        <v>739</v>
      </c>
      <c r="C26" s="6">
        <v>46081</v>
      </c>
      <c r="D26" t="s">
        <v>788</v>
      </c>
      <c r="E26">
        <v>1199</v>
      </c>
      <c r="F26" t="s">
        <v>782</v>
      </c>
    </row>
    <row r="27" spans="1:6">
      <c r="A27" t="s">
        <v>814</v>
      </c>
      <c r="B27" t="s">
        <v>139</v>
      </c>
      <c r="C27" s="6">
        <v>46061</v>
      </c>
      <c r="D27" t="s">
        <v>788</v>
      </c>
      <c r="E27">
        <v>999</v>
      </c>
      <c r="F27" t="s">
        <v>782</v>
      </c>
    </row>
    <row r="28" spans="1:6">
      <c r="A28" t="s">
        <v>815</v>
      </c>
      <c r="B28" t="s">
        <v>542</v>
      </c>
      <c r="C28" s="6">
        <v>46167</v>
      </c>
      <c r="D28" t="s">
        <v>781</v>
      </c>
      <c r="E28">
        <v>1798</v>
      </c>
      <c r="F28" t="s">
        <v>782</v>
      </c>
    </row>
    <row r="29" spans="1:6">
      <c r="A29" t="s">
        <v>816</v>
      </c>
      <c r="B29" t="s">
        <v>579</v>
      </c>
      <c r="C29" s="6">
        <v>46203</v>
      </c>
      <c r="D29" t="s">
        <v>788</v>
      </c>
      <c r="E29">
        <v>3499</v>
      </c>
      <c r="F29" t="s">
        <v>782</v>
      </c>
    </row>
    <row r="30" spans="1:6">
      <c r="A30" t="s">
        <v>817</v>
      </c>
      <c r="B30" t="s">
        <v>350</v>
      </c>
      <c r="C30" s="6">
        <v>46106</v>
      </c>
      <c r="D30" t="s">
        <v>786</v>
      </c>
      <c r="E30">
        <v>3499</v>
      </c>
      <c r="F30" t="s">
        <v>782</v>
      </c>
    </row>
    <row r="31" spans="1:6">
      <c r="A31" t="s">
        <v>819</v>
      </c>
      <c r="B31" t="s">
        <v>415</v>
      </c>
      <c r="C31" s="6">
        <v>46200</v>
      </c>
      <c r="D31" t="s">
        <v>788</v>
      </c>
      <c r="E31">
        <v>3499</v>
      </c>
      <c r="F31" t="s">
        <v>782</v>
      </c>
    </row>
    <row r="32" spans="1:6">
      <c r="A32" t="s">
        <v>820</v>
      </c>
      <c r="B32" t="s">
        <v>503</v>
      </c>
      <c r="C32" s="6">
        <v>46186</v>
      </c>
      <c r="D32" t="s">
        <v>790</v>
      </c>
      <c r="E32">
        <v>3999</v>
      </c>
      <c r="F32" t="s">
        <v>782</v>
      </c>
    </row>
    <row r="33" spans="1:6">
      <c r="A33" t="s">
        <v>821</v>
      </c>
      <c r="B33" t="s">
        <v>333</v>
      </c>
      <c r="C33" s="6">
        <v>46173</v>
      </c>
      <c r="D33" t="s">
        <v>781</v>
      </c>
      <c r="E33">
        <v>2799</v>
      </c>
      <c r="F33" t="s">
        <v>782</v>
      </c>
    </row>
    <row r="34" spans="1:6">
      <c r="A34" t="s">
        <v>823</v>
      </c>
      <c r="B34" t="s">
        <v>625</v>
      </c>
      <c r="C34" s="6">
        <v>46036</v>
      </c>
      <c r="D34" t="s">
        <v>790</v>
      </c>
      <c r="E34">
        <v>2997</v>
      </c>
      <c r="F34" t="s">
        <v>782</v>
      </c>
    </row>
    <row r="35" spans="1:6">
      <c r="A35" t="s">
        <v>824</v>
      </c>
      <c r="B35" t="s">
        <v>719</v>
      </c>
      <c r="C35" s="6">
        <v>46141</v>
      </c>
      <c r="D35" t="s">
        <v>784</v>
      </c>
      <c r="E35">
        <v>5397</v>
      </c>
      <c r="F35" t="s">
        <v>782</v>
      </c>
    </row>
    <row r="36" spans="1:6">
      <c r="A36" t="s">
        <v>825</v>
      </c>
      <c r="B36" t="s">
        <v>438</v>
      </c>
      <c r="C36" s="6">
        <v>46030</v>
      </c>
      <c r="D36" t="s">
        <v>784</v>
      </c>
      <c r="E36">
        <v>899</v>
      </c>
      <c r="F36" t="s">
        <v>782</v>
      </c>
    </row>
    <row r="37" spans="1:6">
      <c r="A37" t="s">
        <v>826</v>
      </c>
      <c r="B37" t="s">
        <v>458</v>
      </c>
      <c r="C37" s="6">
        <v>46152</v>
      </c>
      <c r="D37" t="s">
        <v>788</v>
      </c>
      <c r="E37">
        <v>1198</v>
      </c>
      <c r="F37" t="s">
        <v>782</v>
      </c>
    </row>
    <row r="38" spans="1:6">
      <c r="A38" t="s">
        <v>827</v>
      </c>
      <c r="B38" t="s">
        <v>27</v>
      </c>
      <c r="C38" s="6">
        <v>46053</v>
      </c>
      <c r="D38" t="s">
        <v>784</v>
      </c>
      <c r="E38">
        <v>1799</v>
      </c>
      <c r="F38" t="s">
        <v>782</v>
      </c>
    </row>
    <row r="39" spans="1:6">
      <c r="A39" t="s">
        <v>829</v>
      </c>
      <c r="B39" t="s">
        <v>109</v>
      </c>
      <c r="C39" s="6">
        <v>46189</v>
      </c>
      <c r="D39" t="s">
        <v>786</v>
      </c>
      <c r="E39">
        <v>1499</v>
      </c>
      <c r="F39" t="s">
        <v>782</v>
      </c>
    </row>
    <row r="40" spans="1:6">
      <c r="A40" t="s">
        <v>830</v>
      </c>
      <c r="B40" t="s">
        <v>745</v>
      </c>
      <c r="C40" s="6">
        <v>46184</v>
      </c>
      <c r="D40" t="s">
        <v>790</v>
      </c>
      <c r="E40">
        <v>4497</v>
      </c>
      <c r="F40" t="s">
        <v>782</v>
      </c>
    </row>
    <row r="41" spans="1:6">
      <c r="A41" t="s">
        <v>831</v>
      </c>
      <c r="B41" t="s">
        <v>223</v>
      </c>
      <c r="C41" s="6">
        <v>46145</v>
      </c>
      <c r="D41" t="s">
        <v>781</v>
      </c>
      <c r="E41">
        <v>1799</v>
      </c>
      <c r="F41" t="s">
        <v>782</v>
      </c>
    </row>
    <row r="42" spans="1:6">
      <c r="A42" t="s">
        <v>832</v>
      </c>
      <c r="B42" t="s">
        <v>640</v>
      </c>
      <c r="C42" s="6">
        <v>46032</v>
      </c>
      <c r="D42" t="s">
        <v>786</v>
      </c>
      <c r="E42">
        <v>799</v>
      </c>
      <c r="F42" t="s">
        <v>782</v>
      </c>
    </row>
    <row r="43" spans="1:6">
      <c r="A43" t="s">
        <v>834</v>
      </c>
      <c r="B43" t="s">
        <v>488</v>
      </c>
      <c r="C43" s="6">
        <v>46143</v>
      </c>
      <c r="D43" t="s">
        <v>784</v>
      </c>
      <c r="E43">
        <v>3999</v>
      </c>
      <c r="F43" t="s">
        <v>782</v>
      </c>
    </row>
    <row r="44" spans="1:6">
      <c r="A44" t="s">
        <v>835</v>
      </c>
      <c r="B44" t="s">
        <v>298</v>
      </c>
      <c r="C44" s="6">
        <v>46196</v>
      </c>
      <c r="D44" t="s">
        <v>781</v>
      </c>
      <c r="E44">
        <v>2499</v>
      </c>
      <c r="F44" t="s">
        <v>782</v>
      </c>
    </row>
    <row r="45" spans="1:6">
      <c r="A45" t="s">
        <v>836</v>
      </c>
      <c r="B45" t="s">
        <v>212</v>
      </c>
      <c r="C45" s="6">
        <v>46040</v>
      </c>
      <c r="D45" t="s">
        <v>784</v>
      </c>
      <c r="E45">
        <v>2499</v>
      </c>
      <c r="F45" t="s">
        <v>782</v>
      </c>
    </row>
    <row r="46" spans="1:6">
      <c r="A46" t="s">
        <v>837</v>
      </c>
      <c r="B46" t="s">
        <v>742</v>
      </c>
      <c r="C46" s="6">
        <v>46129</v>
      </c>
      <c r="D46" t="s">
        <v>786</v>
      </c>
      <c r="E46">
        <v>1999</v>
      </c>
      <c r="F46" t="s">
        <v>782</v>
      </c>
    </row>
    <row r="47" spans="1:6">
      <c r="A47" t="s">
        <v>838</v>
      </c>
      <c r="B47" t="s">
        <v>191</v>
      </c>
      <c r="C47" s="6">
        <v>46116</v>
      </c>
      <c r="D47" t="s">
        <v>788</v>
      </c>
      <c r="E47">
        <v>999</v>
      </c>
      <c r="F47" t="s">
        <v>782</v>
      </c>
    </row>
    <row r="48" spans="1:6">
      <c r="A48" t="s">
        <v>839</v>
      </c>
      <c r="B48" t="s">
        <v>11</v>
      </c>
      <c r="C48" s="6">
        <v>46078</v>
      </c>
      <c r="D48" t="s">
        <v>784</v>
      </c>
      <c r="E48">
        <v>1999</v>
      </c>
      <c r="F48" t="s">
        <v>782</v>
      </c>
    </row>
    <row r="49" spans="1:6">
      <c r="A49" t="s">
        <v>840</v>
      </c>
      <c r="B49" t="s">
        <v>464</v>
      </c>
      <c r="C49" s="6">
        <v>46138</v>
      </c>
      <c r="D49" t="s">
        <v>781</v>
      </c>
      <c r="E49">
        <v>3198</v>
      </c>
      <c r="F49" t="s">
        <v>782</v>
      </c>
    </row>
    <row r="50" spans="1:6">
      <c r="A50" t="s">
        <v>841</v>
      </c>
      <c r="B50" t="s">
        <v>628</v>
      </c>
      <c r="C50" s="6">
        <v>46137</v>
      </c>
      <c r="D50" t="s">
        <v>786</v>
      </c>
      <c r="E50">
        <v>4598</v>
      </c>
      <c r="F50" t="s">
        <v>782</v>
      </c>
    </row>
    <row r="51" spans="1:6">
      <c r="A51" t="s">
        <v>842</v>
      </c>
      <c r="B51" t="s">
        <v>767</v>
      </c>
      <c r="C51" s="6">
        <v>46041</v>
      </c>
      <c r="D51" t="s">
        <v>790</v>
      </c>
      <c r="E51">
        <v>3499</v>
      </c>
      <c r="F51" t="s">
        <v>782</v>
      </c>
    </row>
    <row r="52" spans="1:6">
      <c r="A52" t="s">
        <v>843</v>
      </c>
      <c r="B52" t="s">
        <v>39</v>
      </c>
      <c r="C52" s="6">
        <v>46182</v>
      </c>
      <c r="D52" t="s">
        <v>786</v>
      </c>
      <c r="E52">
        <v>1299</v>
      </c>
      <c r="F52" t="s">
        <v>782</v>
      </c>
    </row>
    <row r="53" spans="1:6">
      <c r="A53" t="s">
        <v>844</v>
      </c>
      <c r="B53" t="s">
        <v>679</v>
      </c>
      <c r="C53" s="6">
        <v>46082</v>
      </c>
      <c r="D53" t="s">
        <v>781</v>
      </c>
      <c r="E53">
        <v>3999</v>
      </c>
      <c r="F53" t="s">
        <v>782</v>
      </c>
    </row>
    <row r="54" spans="1:6">
      <c r="A54" t="s">
        <v>845</v>
      </c>
      <c r="B54" t="s">
        <v>646</v>
      </c>
      <c r="C54" s="6">
        <v>46124</v>
      </c>
      <c r="D54" t="s">
        <v>788</v>
      </c>
      <c r="E54">
        <v>4598</v>
      </c>
      <c r="F54" t="s">
        <v>782</v>
      </c>
    </row>
    <row r="55" spans="1:6">
      <c r="A55" t="s">
        <v>846</v>
      </c>
      <c r="B55" t="s">
        <v>473</v>
      </c>
      <c r="C55" s="6">
        <v>46160</v>
      </c>
      <c r="D55" t="s">
        <v>786</v>
      </c>
      <c r="E55">
        <v>1499</v>
      </c>
      <c r="F55" t="s">
        <v>782</v>
      </c>
    </row>
    <row r="56" spans="1:6">
      <c r="A56" t="s">
        <v>847</v>
      </c>
      <c r="B56" t="s">
        <v>691</v>
      </c>
      <c r="C56" s="6">
        <v>46181</v>
      </c>
      <c r="D56" t="s">
        <v>790</v>
      </c>
      <c r="E56">
        <v>3299</v>
      </c>
      <c r="F56" t="s">
        <v>782</v>
      </c>
    </row>
    <row r="57" spans="1:6">
      <c r="A57" t="s">
        <v>848</v>
      </c>
      <c r="B57" t="s">
        <v>260</v>
      </c>
      <c r="C57" s="6">
        <v>46110</v>
      </c>
      <c r="D57" t="s">
        <v>781</v>
      </c>
      <c r="E57">
        <v>1749</v>
      </c>
      <c r="F57" t="s">
        <v>782</v>
      </c>
    </row>
    <row r="58" spans="1:6">
      <c r="A58" t="s">
        <v>849</v>
      </c>
      <c r="B58" t="s">
        <v>282</v>
      </c>
      <c r="C58" s="6">
        <v>46041</v>
      </c>
      <c r="D58" t="s">
        <v>784</v>
      </c>
      <c r="E58">
        <v>999</v>
      </c>
      <c r="F58" t="s">
        <v>782</v>
      </c>
    </row>
    <row r="59" spans="1:6">
      <c r="A59" t="s">
        <v>850</v>
      </c>
      <c r="B59" t="s">
        <v>588</v>
      </c>
      <c r="C59" s="6">
        <v>46064</v>
      </c>
      <c r="D59" t="s">
        <v>788</v>
      </c>
      <c r="E59">
        <v>1299</v>
      </c>
      <c r="F59" t="s">
        <v>782</v>
      </c>
    </row>
    <row r="60" spans="1:6">
      <c r="A60" t="s">
        <v>851</v>
      </c>
      <c r="B60" t="s">
        <v>362</v>
      </c>
      <c r="C60" s="6">
        <v>46196</v>
      </c>
      <c r="D60" t="s">
        <v>786</v>
      </c>
      <c r="E60">
        <v>799</v>
      </c>
      <c r="F60" t="s">
        <v>782</v>
      </c>
    </row>
    <row r="61" spans="1:6">
      <c r="A61" t="s">
        <v>852</v>
      </c>
      <c r="B61" t="s">
        <v>662</v>
      </c>
      <c r="C61" s="6">
        <v>46138</v>
      </c>
      <c r="D61" t="s">
        <v>790</v>
      </c>
      <c r="E61">
        <v>1499</v>
      </c>
      <c r="F61" t="s">
        <v>782</v>
      </c>
    </row>
    <row r="62" spans="1:6">
      <c r="A62" t="s">
        <v>853</v>
      </c>
      <c r="B62" t="s">
        <v>152</v>
      </c>
      <c r="C62" s="6">
        <v>46073</v>
      </c>
      <c r="D62" t="s">
        <v>788</v>
      </c>
      <c r="E62">
        <v>5997</v>
      </c>
      <c r="F62" t="s">
        <v>782</v>
      </c>
    </row>
    <row r="63" spans="1:6">
      <c r="A63" t="s">
        <v>854</v>
      </c>
      <c r="B63" t="s">
        <v>529</v>
      </c>
      <c r="C63" s="6">
        <v>46164</v>
      </c>
      <c r="D63" t="s">
        <v>786</v>
      </c>
      <c r="E63">
        <v>899</v>
      </c>
      <c r="F63" t="s">
        <v>782</v>
      </c>
    </row>
    <row r="64" spans="1:6">
      <c r="A64" t="s">
        <v>855</v>
      </c>
      <c r="B64" t="s">
        <v>687</v>
      </c>
      <c r="C64" s="6">
        <v>46126</v>
      </c>
      <c r="D64" t="s">
        <v>790</v>
      </c>
      <c r="E64">
        <v>499</v>
      </c>
      <c r="F64" t="s">
        <v>782</v>
      </c>
    </row>
    <row r="65" spans="1:6">
      <c r="A65" t="s">
        <v>856</v>
      </c>
      <c r="B65" t="s">
        <v>716</v>
      </c>
      <c r="C65" s="6">
        <v>46067</v>
      </c>
      <c r="D65" t="s">
        <v>788</v>
      </c>
      <c r="E65">
        <v>2799</v>
      </c>
      <c r="F65" t="s">
        <v>782</v>
      </c>
    </row>
    <row r="66" spans="1:6">
      <c r="A66" t="s">
        <v>858</v>
      </c>
      <c r="B66" t="s">
        <v>500</v>
      </c>
      <c r="C66" s="6">
        <v>46125</v>
      </c>
      <c r="D66" t="s">
        <v>784</v>
      </c>
      <c r="E66">
        <v>3998</v>
      </c>
      <c r="F66" t="s">
        <v>782</v>
      </c>
    </row>
    <row r="67" spans="1:6">
      <c r="A67" t="s">
        <v>859</v>
      </c>
      <c r="B67" t="s">
        <v>773</v>
      </c>
      <c r="C67" s="6">
        <v>46134</v>
      </c>
      <c r="D67" t="s">
        <v>784</v>
      </c>
      <c r="E67">
        <v>6998</v>
      </c>
      <c r="F67" t="s">
        <v>782</v>
      </c>
    </row>
    <row r="68" spans="1:6">
      <c r="A68" t="s">
        <v>860</v>
      </c>
      <c r="B68" t="s">
        <v>294</v>
      </c>
      <c r="C68" s="6">
        <v>46109</v>
      </c>
      <c r="D68" t="s">
        <v>781</v>
      </c>
      <c r="E68">
        <v>1799</v>
      </c>
      <c r="F68" t="s">
        <v>782</v>
      </c>
    </row>
    <row r="69" spans="1:6">
      <c r="A69" t="s">
        <v>861</v>
      </c>
      <c r="B69" t="s">
        <v>750</v>
      </c>
      <c r="C69" s="6">
        <v>46093</v>
      </c>
      <c r="D69" t="s">
        <v>788</v>
      </c>
      <c r="E69">
        <v>7998</v>
      </c>
      <c r="F69" t="s">
        <v>782</v>
      </c>
    </row>
    <row r="70" spans="1:6">
      <c r="A70" t="s">
        <v>862</v>
      </c>
      <c r="B70" t="s">
        <v>462</v>
      </c>
      <c r="C70" s="6">
        <v>46103</v>
      </c>
      <c r="D70" t="s">
        <v>786</v>
      </c>
      <c r="E70">
        <v>1499</v>
      </c>
      <c r="F70" t="s">
        <v>782</v>
      </c>
    </row>
    <row r="71" spans="1:6">
      <c r="A71" t="s">
        <v>863</v>
      </c>
      <c r="B71" t="s">
        <v>159</v>
      </c>
      <c r="C71" s="6">
        <v>46078</v>
      </c>
      <c r="D71" t="s">
        <v>786</v>
      </c>
      <c r="E71">
        <v>3198</v>
      </c>
      <c r="F71" t="s">
        <v>782</v>
      </c>
    </row>
    <row r="72" spans="1:6">
      <c r="A72" t="s">
        <v>864</v>
      </c>
      <c r="B72" t="s">
        <v>116</v>
      </c>
      <c r="C72" s="6">
        <v>46072</v>
      </c>
      <c r="D72" t="s">
        <v>786</v>
      </c>
      <c r="E72">
        <v>6897</v>
      </c>
      <c r="F72" t="s">
        <v>782</v>
      </c>
    </row>
    <row r="73" spans="1:6">
      <c r="A73" t="s">
        <v>865</v>
      </c>
      <c r="B73" t="s">
        <v>586</v>
      </c>
      <c r="C73" s="6">
        <v>46160</v>
      </c>
      <c r="D73" t="s">
        <v>786</v>
      </c>
      <c r="E73">
        <v>499</v>
      </c>
      <c r="F73" t="s">
        <v>782</v>
      </c>
    </row>
    <row r="74" spans="1:6">
      <c r="A74" t="s">
        <v>866</v>
      </c>
      <c r="B74" t="s">
        <v>749</v>
      </c>
      <c r="C74" s="6">
        <v>46123</v>
      </c>
      <c r="D74" t="s">
        <v>784</v>
      </c>
      <c r="E74">
        <v>999</v>
      </c>
      <c r="F74" t="s">
        <v>782</v>
      </c>
    </row>
    <row r="75" spans="1:6">
      <c r="A75" t="s">
        <v>867</v>
      </c>
      <c r="B75" t="s">
        <v>237</v>
      </c>
      <c r="C75" s="6">
        <v>46140</v>
      </c>
      <c r="D75" t="s">
        <v>790</v>
      </c>
      <c r="E75">
        <v>2499</v>
      </c>
      <c r="F75" t="s">
        <v>792</v>
      </c>
    </row>
    <row r="76" spans="1:6">
      <c r="A76" t="s">
        <v>869</v>
      </c>
      <c r="B76" t="s">
        <v>678</v>
      </c>
      <c r="C76" s="6">
        <v>46182</v>
      </c>
      <c r="D76" t="s">
        <v>786</v>
      </c>
      <c r="E76">
        <v>3999</v>
      </c>
      <c r="F76" t="s">
        <v>782</v>
      </c>
    </row>
    <row r="77" spans="1:6">
      <c r="A77" t="s">
        <v>870</v>
      </c>
      <c r="B77" t="s">
        <v>547</v>
      </c>
      <c r="C77" s="6">
        <v>46167</v>
      </c>
      <c r="D77" t="s">
        <v>788</v>
      </c>
      <c r="E77">
        <v>2299</v>
      </c>
      <c r="F77" t="s">
        <v>782</v>
      </c>
    </row>
    <row r="78" spans="1:6">
      <c r="A78" t="s">
        <v>871</v>
      </c>
      <c r="B78" t="s">
        <v>337</v>
      </c>
      <c r="C78" s="6">
        <v>46025</v>
      </c>
      <c r="D78" t="s">
        <v>790</v>
      </c>
      <c r="E78">
        <v>5997</v>
      </c>
      <c r="F78" t="s">
        <v>782</v>
      </c>
    </row>
    <row r="79" spans="1:6">
      <c r="A79" t="s">
        <v>873</v>
      </c>
      <c r="B79" t="s">
        <v>344</v>
      </c>
      <c r="C79" s="6">
        <v>46033</v>
      </c>
      <c r="D79" t="s">
        <v>781</v>
      </c>
      <c r="E79">
        <v>2697</v>
      </c>
      <c r="F79" t="s">
        <v>782</v>
      </c>
    </row>
    <row r="80" spans="1:6">
      <c r="A80" t="s">
        <v>874</v>
      </c>
      <c r="B80" t="s">
        <v>720</v>
      </c>
      <c r="C80" s="6">
        <v>46058</v>
      </c>
      <c r="D80" t="s">
        <v>790</v>
      </c>
      <c r="E80">
        <v>999</v>
      </c>
      <c r="F80" t="s">
        <v>782</v>
      </c>
    </row>
    <row r="81" spans="1:6">
      <c r="A81" t="s">
        <v>875</v>
      </c>
      <c r="B81" t="s">
        <v>361</v>
      </c>
      <c r="C81" s="6">
        <v>46200</v>
      </c>
      <c r="D81" t="s">
        <v>781</v>
      </c>
      <c r="E81">
        <v>2499</v>
      </c>
      <c r="F81" t="s">
        <v>782</v>
      </c>
    </row>
    <row r="82" spans="1:6">
      <c r="A82" t="s">
        <v>876</v>
      </c>
      <c r="B82" t="s">
        <v>527</v>
      </c>
      <c r="C82" s="6">
        <v>46092</v>
      </c>
      <c r="D82" t="s">
        <v>781</v>
      </c>
      <c r="E82">
        <v>2398</v>
      </c>
      <c r="F82" t="s">
        <v>782</v>
      </c>
    </row>
    <row r="83" spans="1:6">
      <c r="A83" t="s">
        <v>877</v>
      </c>
      <c r="B83" t="s">
        <v>607</v>
      </c>
      <c r="C83" s="6">
        <v>46162</v>
      </c>
      <c r="D83" t="s">
        <v>781</v>
      </c>
      <c r="E83">
        <v>1497</v>
      </c>
      <c r="F83" t="s">
        <v>782</v>
      </c>
    </row>
    <row r="84" spans="1:6">
      <c r="A84" t="s">
        <v>878</v>
      </c>
      <c r="B84" t="s">
        <v>174</v>
      </c>
      <c r="C84" s="6">
        <v>46127</v>
      </c>
      <c r="D84" t="s">
        <v>790</v>
      </c>
      <c r="E84">
        <v>1499</v>
      </c>
      <c r="F84" t="s">
        <v>792</v>
      </c>
    </row>
    <row r="85" spans="1:6">
      <c r="A85" t="s">
        <v>879</v>
      </c>
      <c r="B85" t="s">
        <v>478</v>
      </c>
      <c r="C85" s="6">
        <v>46114</v>
      </c>
      <c r="D85" t="s">
        <v>784</v>
      </c>
      <c r="E85">
        <v>2398</v>
      </c>
      <c r="F85" t="s">
        <v>782</v>
      </c>
    </row>
    <row r="86" spans="1:6">
      <c r="A86" t="s">
        <v>880</v>
      </c>
      <c r="B86" t="s">
        <v>725</v>
      </c>
      <c r="C86" s="6">
        <v>46112</v>
      </c>
      <c r="D86" t="s">
        <v>788</v>
      </c>
      <c r="E86">
        <v>999</v>
      </c>
      <c r="F86" t="s">
        <v>782</v>
      </c>
    </row>
    <row r="87" spans="1:6">
      <c r="A87" t="s">
        <v>881</v>
      </c>
      <c r="B87" t="s">
        <v>633</v>
      </c>
      <c r="C87" s="6">
        <v>46187</v>
      </c>
      <c r="D87" t="s">
        <v>790</v>
      </c>
      <c r="E87">
        <v>999</v>
      </c>
      <c r="F87" t="s">
        <v>782</v>
      </c>
    </row>
    <row r="88" spans="1:6">
      <c r="A88" t="s">
        <v>882</v>
      </c>
      <c r="B88" t="s">
        <v>722</v>
      </c>
      <c r="C88" s="6">
        <v>46152</v>
      </c>
      <c r="D88" t="s">
        <v>786</v>
      </c>
      <c r="E88">
        <v>3299</v>
      </c>
      <c r="F88" t="s">
        <v>782</v>
      </c>
    </row>
    <row r="89" spans="1:6">
      <c r="A89" t="s">
        <v>883</v>
      </c>
      <c r="B89" t="s">
        <v>443</v>
      </c>
      <c r="C89" s="6">
        <v>46064</v>
      </c>
      <c r="D89" t="s">
        <v>788</v>
      </c>
      <c r="E89">
        <v>2499</v>
      </c>
      <c r="F89" t="s">
        <v>782</v>
      </c>
    </row>
    <row r="90" spans="1:6">
      <c r="A90" t="s">
        <v>884</v>
      </c>
      <c r="B90" t="s">
        <v>766</v>
      </c>
      <c r="C90" s="6">
        <v>46040</v>
      </c>
      <c r="D90" t="s">
        <v>786</v>
      </c>
      <c r="E90">
        <v>799</v>
      </c>
      <c r="F90" t="s">
        <v>782</v>
      </c>
    </row>
    <row r="91" spans="1:6">
      <c r="A91" t="s">
        <v>885</v>
      </c>
      <c r="B91" t="s">
        <v>124</v>
      </c>
      <c r="C91" s="6">
        <v>46093</v>
      </c>
      <c r="D91" t="s">
        <v>784</v>
      </c>
      <c r="E91">
        <v>1199</v>
      </c>
      <c r="F91" t="s">
        <v>782</v>
      </c>
    </row>
    <row r="92" spans="1:6">
      <c r="A92" t="s">
        <v>886</v>
      </c>
      <c r="B92" t="s">
        <v>498</v>
      </c>
      <c r="C92" s="6">
        <v>46042</v>
      </c>
      <c r="D92" t="s">
        <v>781</v>
      </c>
      <c r="E92">
        <v>1799</v>
      </c>
      <c r="F92" t="s">
        <v>782</v>
      </c>
    </row>
    <row r="93" spans="1:6">
      <c r="A93" t="s">
        <v>887</v>
      </c>
      <c r="B93" t="s">
        <v>619</v>
      </c>
      <c r="C93" s="6">
        <v>46196</v>
      </c>
      <c r="D93" t="s">
        <v>786</v>
      </c>
      <c r="E93">
        <v>899</v>
      </c>
      <c r="F93" t="s">
        <v>782</v>
      </c>
    </row>
    <row r="94" spans="1:6">
      <c r="A94" t="s">
        <v>888</v>
      </c>
      <c r="B94" t="s">
        <v>197</v>
      </c>
      <c r="C94" s="6">
        <v>46030</v>
      </c>
      <c r="D94" t="s">
        <v>786</v>
      </c>
      <c r="E94">
        <v>2998</v>
      </c>
      <c r="F94" t="s">
        <v>782</v>
      </c>
    </row>
    <row r="95" spans="1:6">
      <c r="A95" t="s">
        <v>889</v>
      </c>
      <c r="B95" t="s">
        <v>755</v>
      </c>
      <c r="C95" s="6">
        <v>46181</v>
      </c>
      <c r="D95" t="s">
        <v>786</v>
      </c>
      <c r="E95">
        <v>599</v>
      </c>
      <c r="F95" t="s">
        <v>782</v>
      </c>
    </row>
    <row r="96" spans="1:6">
      <c r="A96" t="s">
        <v>890</v>
      </c>
      <c r="B96" t="s">
        <v>348</v>
      </c>
      <c r="C96" s="6">
        <v>46157</v>
      </c>
      <c r="D96" t="s">
        <v>790</v>
      </c>
      <c r="E96">
        <v>2199</v>
      </c>
      <c r="F96" t="s">
        <v>782</v>
      </c>
    </row>
    <row r="97" spans="1:6">
      <c r="A97" t="s">
        <v>891</v>
      </c>
      <c r="B97" t="s">
        <v>594</v>
      </c>
      <c r="C97" s="6">
        <v>46189</v>
      </c>
      <c r="D97" t="s">
        <v>790</v>
      </c>
      <c r="E97">
        <v>3198</v>
      </c>
      <c r="F97" t="s">
        <v>782</v>
      </c>
    </row>
    <row r="98" spans="1:6">
      <c r="A98" t="s">
        <v>892</v>
      </c>
      <c r="B98" t="s">
        <v>644</v>
      </c>
      <c r="C98" s="6">
        <v>46059</v>
      </c>
      <c r="D98" t="s">
        <v>781</v>
      </c>
      <c r="E98">
        <v>2799</v>
      </c>
      <c r="F98" t="s">
        <v>782</v>
      </c>
    </row>
    <row r="99" spans="1:6">
      <c r="A99" t="s">
        <v>893</v>
      </c>
      <c r="B99" t="s">
        <v>230</v>
      </c>
      <c r="C99" s="6">
        <v>46177</v>
      </c>
      <c r="D99" t="s">
        <v>790</v>
      </c>
      <c r="E99">
        <v>1499</v>
      </c>
      <c r="F99" t="s">
        <v>782</v>
      </c>
    </row>
    <row r="100" spans="1:6">
      <c r="A100" t="s">
        <v>894</v>
      </c>
      <c r="B100" t="s">
        <v>339</v>
      </c>
      <c r="C100" s="6">
        <v>46053</v>
      </c>
      <c r="D100" t="s">
        <v>781</v>
      </c>
      <c r="E100">
        <v>6598</v>
      </c>
      <c r="F100" t="s">
        <v>782</v>
      </c>
    </row>
    <row r="101" spans="1:6">
      <c r="A101" t="s">
        <v>895</v>
      </c>
      <c r="B101" t="s">
        <v>751</v>
      </c>
      <c r="C101" s="6">
        <v>46131</v>
      </c>
      <c r="D101" t="s">
        <v>781</v>
      </c>
      <c r="E101">
        <v>2299</v>
      </c>
      <c r="F101" t="s">
        <v>782</v>
      </c>
    </row>
    <row r="102" spans="1:6">
      <c r="A102" t="s">
        <v>896</v>
      </c>
      <c r="B102" t="s">
        <v>520</v>
      </c>
      <c r="C102" s="6">
        <v>46058</v>
      </c>
      <c r="D102" t="s">
        <v>784</v>
      </c>
      <c r="E102">
        <v>7998</v>
      </c>
      <c r="F102" t="s">
        <v>782</v>
      </c>
    </row>
    <row r="103" spans="1:6">
      <c r="A103" t="s">
        <v>897</v>
      </c>
      <c r="B103" t="s">
        <v>533</v>
      </c>
      <c r="C103" s="6">
        <v>46126</v>
      </c>
      <c r="D103" t="s">
        <v>790</v>
      </c>
      <c r="E103">
        <v>499</v>
      </c>
      <c r="F103" t="s">
        <v>782</v>
      </c>
    </row>
    <row r="104" spans="1:6">
      <c r="A104" t="s">
        <v>898</v>
      </c>
      <c r="B104" t="s">
        <v>157</v>
      </c>
      <c r="C104" s="6">
        <v>46122</v>
      </c>
      <c r="D104" t="s">
        <v>784</v>
      </c>
      <c r="E104">
        <v>3999</v>
      </c>
      <c r="F104" t="s">
        <v>782</v>
      </c>
    </row>
    <row r="105" spans="1:6">
      <c r="A105" t="s">
        <v>899</v>
      </c>
      <c r="B105" t="s">
        <v>550</v>
      </c>
      <c r="C105" s="6">
        <v>46198</v>
      </c>
      <c r="D105" t="s">
        <v>781</v>
      </c>
      <c r="E105">
        <v>799</v>
      </c>
      <c r="F105" t="s">
        <v>782</v>
      </c>
    </row>
    <row r="106" spans="1:6">
      <c r="A106" t="s">
        <v>900</v>
      </c>
      <c r="B106" t="s">
        <v>618</v>
      </c>
      <c r="C106" s="6">
        <v>46065</v>
      </c>
      <c r="D106" t="s">
        <v>788</v>
      </c>
      <c r="E106">
        <v>1499</v>
      </c>
      <c r="F106" t="s">
        <v>782</v>
      </c>
    </row>
    <row r="107" spans="1:6">
      <c r="A107" t="s">
        <v>901</v>
      </c>
      <c r="B107" t="s">
        <v>322</v>
      </c>
      <c r="C107" s="6">
        <v>46058</v>
      </c>
      <c r="D107" t="s">
        <v>786</v>
      </c>
      <c r="E107">
        <v>998</v>
      </c>
      <c r="F107" t="s">
        <v>782</v>
      </c>
    </row>
    <row r="108" spans="1:6">
      <c r="A108" t="s">
        <v>902</v>
      </c>
      <c r="B108" t="s">
        <v>293</v>
      </c>
      <c r="C108" s="6">
        <v>46142</v>
      </c>
      <c r="D108" t="s">
        <v>781</v>
      </c>
      <c r="E108">
        <v>999</v>
      </c>
      <c r="F108" t="s">
        <v>782</v>
      </c>
    </row>
    <row r="109" spans="1:6">
      <c r="A109" t="s">
        <v>903</v>
      </c>
      <c r="B109" t="s">
        <v>733</v>
      </c>
      <c r="C109" s="6">
        <v>46097</v>
      </c>
      <c r="D109" t="s">
        <v>786</v>
      </c>
      <c r="E109">
        <v>3999</v>
      </c>
      <c r="F109" t="s">
        <v>782</v>
      </c>
    </row>
    <row r="110" spans="1:6">
      <c r="A110" t="s">
        <v>904</v>
      </c>
      <c r="B110" t="s">
        <v>698</v>
      </c>
      <c r="C110" s="6">
        <v>46030</v>
      </c>
      <c r="D110" t="s">
        <v>784</v>
      </c>
      <c r="E110">
        <v>2499</v>
      </c>
      <c r="F110" t="s">
        <v>782</v>
      </c>
    </row>
    <row r="111" spans="1:6">
      <c r="A111" t="s">
        <v>905</v>
      </c>
      <c r="B111" t="s">
        <v>494</v>
      </c>
      <c r="C111" s="6">
        <v>46042</v>
      </c>
      <c r="D111" t="s">
        <v>781</v>
      </c>
      <c r="E111">
        <v>1299</v>
      </c>
      <c r="F111" t="s">
        <v>782</v>
      </c>
    </row>
    <row r="112" spans="1:6">
      <c r="A112" t="s">
        <v>906</v>
      </c>
      <c r="B112" t="s">
        <v>314</v>
      </c>
      <c r="C112" s="6">
        <v>46150</v>
      </c>
      <c r="D112" t="s">
        <v>788</v>
      </c>
      <c r="E112">
        <v>1599</v>
      </c>
      <c r="F112" t="s">
        <v>782</v>
      </c>
    </row>
    <row r="113" spans="1:6">
      <c r="A113" t="s">
        <v>907</v>
      </c>
      <c r="B113" t="s">
        <v>768</v>
      </c>
      <c r="C113" s="6">
        <v>46046</v>
      </c>
      <c r="D113" t="s">
        <v>788</v>
      </c>
      <c r="E113">
        <v>3198</v>
      </c>
      <c r="F113" t="s">
        <v>782</v>
      </c>
    </row>
    <row r="114" spans="1:6">
      <c r="A114" t="s">
        <v>908</v>
      </c>
      <c r="B114" t="s">
        <v>394</v>
      </c>
      <c r="C114" s="6">
        <v>46159</v>
      </c>
      <c r="D114" t="s">
        <v>790</v>
      </c>
      <c r="E114">
        <v>2799</v>
      </c>
      <c r="F114" t="s">
        <v>782</v>
      </c>
    </row>
    <row r="115" spans="1:6">
      <c r="A115" t="s">
        <v>909</v>
      </c>
      <c r="B115" t="s">
        <v>548</v>
      </c>
      <c r="C115" s="6">
        <v>46142</v>
      </c>
      <c r="D115" t="s">
        <v>784</v>
      </c>
      <c r="E115">
        <v>1998</v>
      </c>
      <c r="F115" t="s">
        <v>782</v>
      </c>
    </row>
    <row r="116" spans="1:6">
      <c r="A116" t="s">
        <v>910</v>
      </c>
      <c r="B116" t="s">
        <v>654</v>
      </c>
      <c r="C116" s="6">
        <v>46038</v>
      </c>
      <c r="D116" t="s">
        <v>790</v>
      </c>
      <c r="E116">
        <v>2199</v>
      </c>
      <c r="F116" t="s">
        <v>782</v>
      </c>
    </row>
    <row r="117" spans="1:6">
      <c r="A117" t="s">
        <v>911</v>
      </c>
      <c r="B117" t="s">
        <v>112</v>
      </c>
      <c r="C117" s="6">
        <v>46156</v>
      </c>
      <c r="D117" t="s">
        <v>788</v>
      </c>
      <c r="E117">
        <v>3999</v>
      </c>
      <c r="F117" t="s">
        <v>782</v>
      </c>
    </row>
    <row r="118" spans="1:6">
      <c r="A118" t="s">
        <v>912</v>
      </c>
      <c r="B118" t="s">
        <v>428</v>
      </c>
      <c r="C118" s="6">
        <v>46150</v>
      </c>
      <c r="D118" t="s">
        <v>790</v>
      </c>
      <c r="E118">
        <v>1998</v>
      </c>
      <c r="F118" t="s">
        <v>782</v>
      </c>
    </row>
    <row r="119" spans="1:6">
      <c r="A119" t="s">
        <v>913</v>
      </c>
      <c r="B119" t="s">
        <v>482</v>
      </c>
      <c r="C119" s="6">
        <v>46050</v>
      </c>
      <c r="D119" t="s">
        <v>781</v>
      </c>
      <c r="E119">
        <v>1999</v>
      </c>
      <c r="F119" t="s">
        <v>782</v>
      </c>
    </row>
    <row r="120" spans="1:6">
      <c r="A120" t="s">
        <v>914</v>
      </c>
      <c r="B120" t="s">
        <v>521</v>
      </c>
      <c r="C120" s="6">
        <v>46176</v>
      </c>
      <c r="D120" t="s">
        <v>784</v>
      </c>
      <c r="E120">
        <v>1999</v>
      </c>
      <c r="F120" t="s">
        <v>782</v>
      </c>
    </row>
    <row r="121" spans="1:6">
      <c r="A121" t="s">
        <v>915</v>
      </c>
      <c r="B121" t="s">
        <v>758</v>
      </c>
      <c r="C121" s="6">
        <v>46188</v>
      </c>
      <c r="D121" t="s">
        <v>790</v>
      </c>
      <c r="E121">
        <v>1599</v>
      </c>
      <c r="F121" t="s">
        <v>782</v>
      </c>
    </row>
    <row r="122" spans="1:6">
      <c r="A122" t="s">
        <v>916</v>
      </c>
      <c r="B122" t="s">
        <v>231</v>
      </c>
      <c r="C122" s="6">
        <v>46089</v>
      </c>
      <c r="D122" t="s">
        <v>786</v>
      </c>
      <c r="E122">
        <v>499</v>
      </c>
      <c r="F122" t="s">
        <v>782</v>
      </c>
    </row>
    <row r="123" spans="1:6">
      <c r="A123" t="s">
        <v>917</v>
      </c>
      <c r="B123" t="s">
        <v>469</v>
      </c>
      <c r="C123" s="6">
        <v>46086</v>
      </c>
      <c r="D123" t="s">
        <v>786</v>
      </c>
      <c r="E123">
        <v>999</v>
      </c>
      <c r="F123" t="s">
        <v>782</v>
      </c>
    </row>
    <row r="124" spans="1:6">
      <c r="A124" t="s">
        <v>918</v>
      </c>
      <c r="B124" t="s">
        <v>463</v>
      </c>
      <c r="C124" s="6">
        <v>46082</v>
      </c>
      <c r="D124" t="s">
        <v>784</v>
      </c>
      <c r="E124">
        <v>1599</v>
      </c>
      <c r="F124" t="s">
        <v>782</v>
      </c>
    </row>
    <row r="125" spans="1:6">
      <c r="A125" t="s">
        <v>919</v>
      </c>
      <c r="B125" t="s">
        <v>363</v>
      </c>
      <c r="C125" s="6">
        <v>46074</v>
      </c>
      <c r="D125" t="s">
        <v>784</v>
      </c>
      <c r="E125">
        <v>2499</v>
      </c>
      <c r="F125" t="s">
        <v>782</v>
      </c>
    </row>
    <row r="126" spans="1:6">
      <c r="A126" t="s">
        <v>920</v>
      </c>
      <c r="B126" t="s">
        <v>404</v>
      </c>
      <c r="C126" s="6">
        <v>46036</v>
      </c>
      <c r="D126" t="s">
        <v>781</v>
      </c>
      <c r="E126">
        <v>2199</v>
      </c>
      <c r="F126" t="s">
        <v>782</v>
      </c>
    </row>
    <row r="127" spans="1:6">
      <c r="A127" t="s">
        <v>921</v>
      </c>
      <c r="B127" t="s">
        <v>381</v>
      </c>
      <c r="C127" s="6">
        <v>46142</v>
      </c>
      <c r="D127" t="s">
        <v>786</v>
      </c>
      <c r="E127">
        <v>1599</v>
      </c>
      <c r="F127" t="s">
        <v>782</v>
      </c>
    </row>
    <row r="128" spans="1:6">
      <c r="A128" t="s">
        <v>922</v>
      </c>
      <c r="B128" t="s">
        <v>670</v>
      </c>
      <c r="C128" s="6">
        <v>46169</v>
      </c>
      <c r="D128" t="s">
        <v>788</v>
      </c>
      <c r="E128">
        <v>2499</v>
      </c>
      <c r="F128" t="s">
        <v>782</v>
      </c>
    </row>
    <row r="129" spans="1:6">
      <c r="A129" t="s">
        <v>923</v>
      </c>
      <c r="B129" t="s">
        <v>18</v>
      </c>
      <c r="C129" s="6">
        <v>46121</v>
      </c>
      <c r="D129" t="s">
        <v>781</v>
      </c>
      <c r="E129">
        <v>3299</v>
      </c>
      <c r="F129" t="s">
        <v>782</v>
      </c>
    </row>
    <row r="130" spans="1:6">
      <c r="A130" t="s">
        <v>924</v>
      </c>
      <c r="B130" t="s">
        <v>728</v>
      </c>
      <c r="C130" s="6">
        <v>46080</v>
      </c>
      <c r="D130" t="s">
        <v>786</v>
      </c>
      <c r="E130">
        <v>2199</v>
      </c>
      <c r="F130" t="s">
        <v>782</v>
      </c>
    </row>
    <row r="131" spans="1:6">
      <c r="A131" t="s">
        <v>925</v>
      </c>
      <c r="B131" t="s">
        <v>598</v>
      </c>
      <c r="C131" s="6">
        <v>46023</v>
      </c>
      <c r="D131" t="s">
        <v>784</v>
      </c>
      <c r="E131">
        <v>3198</v>
      </c>
      <c r="F131" t="s">
        <v>782</v>
      </c>
    </row>
    <row r="132" spans="1:6">
      <c r="A132" t="s">
        <v>926</v>
      </c>
      <c r="B132" t="s">
        <v>44</v>
      </c>
      <c r="C132" s="6">
        <v>46132</v>
      </c>
      <c r="D132" t="s">
        <v>786</v>
      </c>
      <c r="E132">
        <v>499</v>
      </c>
      <c r="F132" t="s">
        <v>782</v>
      </c>
    </row>
    <row r="133" spans="1:6">
      <c r="A133" t="s">
        <v>927</v>
      </c>
      <c r="B133" t="s">
        <v>756</v>
      </c>
      <c r="C133" s="6">
        <v>46081</v>
      </c>
      <c r="D133" t="s">
        <v>781</v>
      </c>
      <c r="E133">
        <v>3999</v>
      </c>
      <c r="F133" t="s">
        <v>782</v>
      </c>
    </row>
    <row r="134" spans="1:6">
      <c r="A134" t="s">
        <v>928</v>
      </c>
      <c r="B134" t="s">
        <v>101</v>
      </c>
      <c r="C134" s="6">
        <v>46133</v>
      </c>
      <c r="D134" t="s">
        <v>781</v>
      </c>
      <c r="E134">
        <v>1499</v>
      </c>
      <c r="F134" t="s">
        <v>782</v>
      </c>
    </row>
    <row r="135" spans="1:6">
      <c r="A135" t="s">
        <v>929</v>
      </c>
      <c r="B135" t="s">
        <v>582</v>
      </c>
      <c r="C135" s="6">
        <v>46107</v>
      </c>
      <c r="D135" t="s">
        <v>788</v>
      </c>
      <c r="E135">
        <v>999</v>
      </c>
      <c r="F135" t="s">
        <v>782</v>
      </c>
    </row>
    <row r="136" spans="1:6">
      <c r="A136" t="s">
        <v>930</v>
      </c>
      <c r="B136" t="s">
        <v>715</v>
      </c>
      <c r="C136" s="6">
        <v>46143</v>
      </c>
      <c r="D136" t="s">
        <v>790</v>
      </c>
      <c r="E136">
        <v>599</v>
      </c>
      <c r="F136" t="s">
        <v>782</v>
      </c>
    </row>
    <row r="137" spans="1:6">
      <c r="A137" t="s">
        <v>931</v>
      </c>
      <c r="B137" t="s">
        <v>524</v>
      </c>
      <c r="C137" s="6">
        <v>46045</v>
      </c>
      <c r="D137" t="s">
        <v>786</v>
      </c>
      <c r="E137">
        <v>899</v>
      </c>
      <c r="F137" t="s">
        <v>782</v>
      </c>
    </row>
    <row r="138" spans="1:6">
      <c r="A138" t="s">
        <v>932</v>
      </c>
      <c r="B138" t="s">
        <v>206</v>
      </c>
      <c r="C138" s="6">
        <v>46175</v>
      </c>
      <c r="D138" t="s">
        <v>784</v>
      </c>
      <c r="E138">
        <v>1499</v>
      </c>
      <c r="F138" t="s">
        <v>782</v>
      </c>
    </row>
    <row r="139" spans="1:6">
      <c r="A139" t="s">
        <v>933</v>
      </c>
      <c r="B139" t="s">
        <v>772</v>
      </c>
      <c r="C139" s="6">
        <v>46030</v>
      </c>
      <c r="D139" t="s">
        <v>781</v>
      </c>
      <c r="E139">
        <v>1299</v>
      </c>
      <c r="F139" t="s">
        <v>782</v>
      </c>
    </row>
    <row r="140" spans="1:6">
      <c r="A140" t="s">
        <v>934</v>
      </c>
      <c r="B140" t="s">
        <v>263</v>
      </c>
      <c r="C140" s="6">
        <v>46060</v>
      </c>
      <c r="D140" t="s">
        <v>788</v>
      </c>
      <c r="E140">
        <v>3499</v>
      </c>
      <c r="F140" t="s">
        <v>782</v>
      </c>
    </row>
    <row r="141" spans="1:6">
      <c r="A141" t="s">
        <v>935</v>
      </c>
      <c r="B141" t="s">
        <v>246</v>
      </c>
      <c r="C141" s="6">
        <v>46202</v>
      </c>
      <c r="D141" t="s">
        <v>790</v>
      </c>
      <c r="E141">
        <v>2398</v>
      </c>
      <c r="F141" t="s">
        <v>782</v>
      </c>
    </row>
    <row r="142" spans="1:6">
      <c r="A142" t="s">
        <v>936</v>
      </c>
      <c r="B142" t="s">
        <v>632</v>
      </c>
      <c r="C142" s="6">
        <v>46204</v>
      </c>
      <c r="D142" t="s">
        <v>788</v>
      </c>
      <c r="E142">
        <v>2199</v>
      </c>
      <c r="F142" t="s">
        <v>782</v>
      </c>
    </row>
    <row r="143" spans="1:6">
      <c r="A143" t="s">
        <v>937</v>
      </c>
      <c r="B143" t="s">
        <v>573</v>
      </c>
      <c r="C143" s="6">
        <v>46053</v>
      </c>
      <c r="D143" t="s">
        <v>784</v>
      </c>
      <c r="E143">
        <v>11997</v>
      </c>
      <c r="F143" t="s">
        <v>782</v>
      </c>
    </row>
    <row r="144" spans="1:6">
      <c r="A144" t="s">
        <v>938</v>
      </c>
      <c r="B144" t="s">
        <v>562</v>
      </c>
      <c r="C144" s="6">
        <v>46125</v>
      </c>
      <c r="D144" t="s">
        <v>788</v>
      </c>
      <c r="E144">
        <v>1799</v>
      </c>
      <c r="F144" t="s">
        <v>782</v>
      </c>
    </row>
    <row r="145" spans="1:6">
      <c r="A145" t="s">
        <v>939</v>
      </c>
      <c r="B145" t="s">
        <v>352</v>
      </c>
      <c r="C145" s="6">
        <v>46084</v>
      </c>
      <c r="D145" t="s">
        <v>781</v>
      </c>
      <c r="E145">
        <v>899</v>
      </c>
      <c r="F145" t="s">
        <v>782</v>
      </c>
    </row>
    <row r="146" spans="1:6">
      <c r="A146" t="s">
        <v>940</v>
      </c>
      <c r="B146" t="s">
        <v>175</v>
      </c>
      <c r="C146" s="6">
        <v>46100</v>
      </c>
      <c r="D146" t="s">
        <v>790</v>
      </c>
      <c r="E146">
        <v>5997</v>
      </c>
      <c r="F146" t="s">
        <v>782</v>
      </c>
    </row>
    <row r="147" spans="1:6">
      <c r="A147" t="s">
        <v>941</v>
      </c>
      <c r="B147" t="s">
        <v>105</v>
      </c>
      <c r="C147" s="6">
        <v>46191</v>
      </c>
      <c r="D147" t="s">
        <v>781</v>
      </c>
      <c r="E147">
        <v>2299</v>
      </c>
      <c r="F147" t="s">
        <v>782</v>
      </c>
    </row>
    <row r="148" spans="1:6">
      <c r="A148" t="s">
        <v>942</v>
      </c>
      <c r="B148" t="s">
        <v>752</v>
      </c>
      <c r="C148" s="6">
        <v>46185</v>
      </c>
      <c r="D148" t="s">
        <v>788</v>
      </c>
      <c r="E148">
        <v>2799</v>
      </c>
      <c r="F148" t="s">
        <v>782</v>
      </c>
    </row>
    <row r="149" spans="1:6">
      <c r="A149" t="s">
        <v>943</v>
      </c>
      <c r="B149" t="s">
        <v>534</v>
      </c>
      <c r="C149" s="6">
        <v>46068</v>
      </c>
      <c r="D149" t="s">
        <v>790</v>
      </c>
      <c r="E149">
        <v>4598</v>
      </c>
      <c r="F149" t="s">
        <v>782</v>
      </c>
    </row>
    <row r="150" spans="1:6">
      <c r="A150" t="s">
        <v>944</v>
      </c>
      <c r="B150" t="s">
        <v>267</v>
      </c>
      <c r="C150" s="6">
        <v>46120</v>
      </c>
      <c r="D150" t="s">
        <v>784</v>
      </c>
      <c r="E150">
        <v>3998</v>
      </c>
      <c r="F150" t="s">
        <v>782</v>
      </c>
    </row>
    <row r="151" spans="1:6">
      <c r="A151" t="s">
        <v>945</v>
      </c>
      <c r="B151" t="s">
        <v>399</v>
      </c>
      <c r="C151" s="6">
        <v>46162</v>
      </c>
      <c r="D151" t="s">
        <v>784</v>
      </c>
      <c r="E151">
        <v>1798</v>
      </c>
      <c r="F151" t="s">
        <v>782</v>
      </c>
    </row>
    <row r="152" spans="1:6">
      <c r="A152" t="s">
        <v>946</v>
      </c>
      <c r="B152" t="s">
        <v>947</v>
      </c>
      <c r="C152" s="6">
        <v>46151</v>
      </c>
      <c r="D152" t="s">
        <v>788</v>
      </c>
      <c r="E152">
        <v>2499</v>
      </c>
      <c r="F152" t="s">
        <v>782</v>
      </c>
    </row>
    <row r="153" spans="1:6">
      <c r="A153" t="s">
        <v>948</v>
      </c>
      <c r="B153" t="s">
        <v>657</v>
      </c>
      <c r="C153" s="6">
        <v>46172</v>
      </c>
      <c r="D153" t="s">
        <v>790</v>
      </c>
      <c r="E153">
        <v>1598</v>
      </c>
      <c r="F153" t="s">
        <v>782</v>
      </c>
    </row>
    <row r="154" spans="1:6">
      <c r="A154" t="s">
        <v>949</v>
      </c>
      <c r="B154" t="s">
        <v>360</v>
      </c>
      <c r="C154" s="6">
        <v>46180</v>
      </c>
      <c r="D154" t="s">
        <v>786</v>
      </c>
      <c r="E154">
        <v>1299</v>
      </c>
      <c r="F154" t="s">
        <v>782</v>
      </c>
    </row>
    <row r="155" spans="1:6">
      <c r="A155" t="s">
        <v>950</v>
      </c>
      <c r="B155" t="s">
        <v>254</v>
      </c>
      <c r="C155" s="6">
        <v>46203</v>
      </c>
      <c r="D155" t="s">
        <v>784</v>
      </c>
      <c r="E155">
        <v>5598</v>
      </c>
      <c r="F155" t="s">
        <v>782</v>
      </c>
    </row>
    <row r="156" spans="1:6">
      <c r="A156" t="s">
        <v>951</v>
      </c>
      <c r="B156" t="s">
        <v>604</v>
      </c>
      <c r="C156" s="6">
        <v>46184</v>
      </c>
      <c r="D156" t="s">
        <v>781</v>
      </c>
      <c r="E156">
        <v>3299</v>
      </c>
      <c r="F156" t="s">
        <v>782</v>
      </c>
    </row>
    <row r="157" spans="1:6">
      <c r="A157" t="s">
        <v>952</v>
      </c>
      <c r="B157" t="s">
        <v>135</v>
      </c>
      <c r="C157" s="6">
        <v>46060</v>
      </c>
      <c r="D157" t="s">
        <v>786</v>
      </c>
      <c r="E157">
        <v>599</v>
      </c>
      <c r="F157" t="s">
        <v>782</v>
      </c>
    </row>
    <row r="158" spans="1:6">
      <c r="A158" t="s">
        <v>953</v>
      </c>
      <c r="B158" t="s">
        <v>690</v>
      </c>
      <c r="C158" s="6">
        <v>46189</v>
      </c>
      <c r="D158" t="s">
        <v>790</v>
      </c>
      <c r="E158">
        <v>1999</v>
      </c>
      <c r="F158" t="s">
        <v>782</v>
      </c>
    </row>
    <row r="159" spans="1:6">
      <c r="A159" t="s">
        <v>954</v>
      </c>
      <c r="B159" t="s">
        <v>685</v>
      </c>
      <c r="C159" s="6">
        <v>46114</v>
      </c>
      <c r="D159" t="s">
        <v>790</v>
      </c>
      <c r="E159">
        <v>1999</v>
      </c>
      <c r="F159" t="s">
        <v>782</v>
      </c>
    </row>
    <row r="160" spans="1:6">
      <c r="A160" t="s">
        <v>956</v>
      </c>
      <c r="B160" t="s">
        <v>649</v>
      </c>
      <c r="C160" s="6">
        <v>46043</v>
      </c>
      <c r="D160" t="s">
        <v>786</v>
      </c>
      <c r="E160">
        <v>1299</v>
      </c>
      <c r="F160" t="s">
        <v>782</v>
      </c>
    </row>
    <row r="161" spans="1:6">
      <c r="A161" t="s">
        <v>957</v>
      </c>
      <c r="B161" t="s">
        <v>663</v>
      </c>
      <c r="C161" s="6">
        <v>46063</v>
      </c>
      <c r="D161" t="s">
        <v>784</v>
      </c>
      <c r="E161">
        <v>1599</v>
      </c>
      <c r="F161" t="s">
        <v>782</v>
      </c>
    </row>
    <row r="162" spans="1:6">
      <c r="A162" t="s">
        <v>958</v>
      </c>
      <c r="B162" t="s">
        <v>213</v>
      </c>
      <c r="C162" s="6">
        <v>46024</v>
      </c>
      <c r="D162" t="s">
        <v>790</v>
      </c>
      <c r="E162">
        <v>1599</v>
      </c>
      <c r="F162" t="s">
        <v>782</v>
      </c>
    </row>
    <row r="163" spans="1:6">
      <c r="A163" t="s">
        <v>959</v>
      </c>
      <c r="B163" t="s">
        <v>297</v>
      </c>
      <c r="C163" s="6">
        <v>46109</v>
      </c>
      <c r="D163" t="s">
        <v>786</v>
      </c>
      <c r="E163">
        <v>3598</v>
      </c>
      <c r="F163" t="s">
        <v>782</v>
      </c>
    </row>
    <row r="164" spans="1:6">
      <c r="A164" t="s">
        <v>960</v>
      </c>
      <c r="B164" t="s">
        <v>287</v>
      </c>
      <c r="C164" s="6">
        <v>46173</v>
      </c>
      <c r="D164" t="s">
        <v>790</v>
      </c>
      <c r="E164">
        <v>1999</v>
      </c>
      <c r="F164" t="s">
        <v>792</v>
      </c>
    </row>
    <row r="165" spans="1:6">
      <c r="A165" t="s">
        <v>962</v>
      </c>
      <c r="B165" t="s">
        <v>517</v>
      </c>
      <c r="C165" s="6">
        <v>46082</v>
      </c>
      <c r="D165" t="s">
        <v>784</v>
      </c>
      <c r="E165">
        <v>1499</v>
      </c>
      <c r="F165" t="s">
        <v>782</v>
      </c>
    </row>
    <row r="166" spans="1:6">
      <c r="A166" t="s">
        <v>963</v>
      </c>
      <c r="B166" t="s">
        <v>506</v>
      </c>
      <c r="C166" s="6">
        <v>46076</v>
      </c>
      <c r="D166" t="s">
        <v>790</v>
      </c>
      <c r="E166">
        <v>1598</v>
      </c>
      <c r="F166" t="s">
        <v>782</v>
      </c>
    </row>
    <row r="167" spans="1:6">
      <c r="A167" t="s">
        <v>964</v>
      </c>
      <c r="B167" t="s">
        <v>686</v>
      </c>
      <c r="C167" s="6">
        <v>46039</v>
      </c>
      <c r="D167" t="s">
        <v>788</v>
      </c>
      <c r="E167">
        <v>2499</v>
      </c>
      <c r="F167" t="s">
        <v>782</v>
      </c>
    </row>
    <row r="168" spans="1:6">
      <c r="A168" t="s">
        <v>965</v>
      </c>
      <c r="B168" t="s">
        <v>522</v>
      </c>
      <c r="C168" s="6">
        <v>46198</v>
      </c>
      <c r="D168" t="s">
        <v>788</v>
      </c>
      <c r="E168">
        <v>2799</v>
      </c>
      <c r="F168" t="s">
        <v>782</v>
      </c>
    </row>
    <row r="169" spans="1:6">
      <c r="A169" t="s">
        <v>966</v>
      </c>
      <c r="B169" t="s">
        <v>476</v>
      </c>
      <c r="C169" s="6">
        <v>46177</v>
      </c>
      <c r="D169" t="s">
        <v>790</v>
      </c>
      <c r="E169">
        <v>2299</v>
      </c>
      <c r="F169" t="s">
        <v>792</v>
      </c>
    </row>
    <row r="170" spans="1:6">
      <c r="A170" t="s">
        <v>967</v>
      </c>
      <c r="B170" t="s">
        <v>564</v>
      </c>
      <c r="C170" s="6">
        <v>46035</v>
      </c>
      <c r="D170" t="s">
        <v>784</v>
      </c>
      <c r="E170">
        <v>1599</v>
      </c>
      <c r="F170" t="s">
        <v>782</v>
      </c>
    </row>
    <row r="171" spans="1:6">
      <c r="A171" t="s">
        <v>968</v>
      </c>
      <c r="B171" t="s">
        <v>485</v>
      </c>
      <c r="C171" s="6">
        <v>46074</v>
      </c>
      <c r="D171" t="s">
        <v>786</v>
      </c>
      <c r="E171">
        <v>10497</v>
      </c>
      <c r="F171" t="s">
        <v>782</v>
      </c>
    </row>
    <row r="172" spans="1:6">
      <c r="A172" t="s">
        <v>969</v>
      </c>
      <c r="B172" t="s">
        <v>688</v>
      </c>
      <c r="C172" s="6">
        <v>46096</v>
      </c>
      <c r="D172" t="s">
        <v>784</v>
      </c>
      <c r="E172">
        <v>2398</v>
      </c>
      <c r="F172" t="s">
        <v>782</v>
      </c>
    </row>
    <row r="173" spans="1:6">
      <c r="A173" t="s">
        <v>970</v>
      </c>
      <c r="B173" t="s">
        <v>622</v>
      </c>
      <c r="C173" s="6">
        <v>46089</v>
      </c>
      <c r="D173" t="s">
        <v>790</v>
      </c>
      <c r="E173">
        <v>5598</v>
      </c>
      <c r="F173" t="s">
        <v>782</v>
      </c>
    </row>
    <row r="174" spans="1:6">
      <c r="A174" t="s">
        <v>971</v>
      </c>
      <c r="B174" t="s">
        <v>608</v>
      </c>
      <c r="C174" s="6">
        <v>46163</v>
      </c>
      <c r="D174" t="s">
        <v>790</v>
      </c>
      <c r="E174">
        <v>799</v>
      </c>
      <c r="F174" t="s">
        <v>782</v>
      </c>
    </row>
    <row r="175" spans="1:6">
      <c r="A175" t="s">
        <v>972</v>
      </c>
      <c r="B175" t="s">
        <v>718</v>
      </c>
      <c r="C175" s="6">
        <v>46042</v>
      </c>
      <c r="D175" t="s">
        <v>788</v>
      </c>
      <c r="E175">
        <v>4998</v>
      </c>
      <c r="F175" t="s">
        <v>782</v>
      </c>
    </row>
    <row r="176" spans="1:6">
      <c r="A176" t="s">
        <v>973</v>
      </c>
      <c r="B176" t="s">
        <v>648</v>
      </c>
      <c r="C176" s="6">
        <v>46119</v>
      </c>
      <c r="D176" t="s">
        <v>781</v>
      </c>
      <c r="E176">
        <v>1499</v>
      </c>
      <c r="F176" t="s">
        <v>782</v>
      </c>
    </row>
    <row r="177" spans="1:6">
      <c r="A177" t="s">
        <v>974</v>
      </c>
      <c r="B177" t="s">
        <v>129</v>
      </c>
      <c r="C177" s="6">
        <v>46112</v>
      </c>
      <c r="D177" t="s">
        <v>781</v>
      </c>
      <c r="E177">
        <v>1799</v>
      </c>
      <c r="F177" t="s">
        <v>782</v>
      </c>
    </row>
    <row r="178" spans="1:6">
      <c r="A178" t="s">
        <v>975</v>
      </c>
      <c r="B178" t="s">
        <v>740</v>
      </c>
      <c r="C178" s="6">
        <v>46150</v>
      </c>
      <c r="D178" t="s">
        <v>786</v>
      </c>
      <c r="E178">
        <v>5997</v>
      </c>
      <c r="F178" t="s">
        <v>782</v>
      </c>
    </row>
    <row r="179" spans="1:6">
      <c r="A179" t="s">
        <v>976</v>
      </c>
      <c r="B179" t="s">
        <v>693</v>
      </c>
      <c r="C179" s="6">
        <v>46120</v>
      </c>
      <c r="D179" t="s">
        <v>781</v>
      </c>
      <c r="E179">
        <v>999</v>
      </c>
      <c r="F179" t="s">
        <v>782</v>
      </c>
    </row>
    <row r="180" spans="1:6">
      <c r="A180" t="s">
        <v>977</v>
      </c>
      <c r="B180" t="s">
        <v>556</v>
      </c>
      <c r="C180" s="6">
        <v>46134</v>
      </c>
      <c r="D180" t="s">
        <v>788</v>
      </c>
      <c r="E180">
        <v>1998</v>
      </c>
      <c r="F180" t="s">
        <v>782</v>
      </c>
    </row>
    <row r="181" spans="1:6">
      <c r="A181" t="s">
        <v>978</v>
      </c>
      <c r="B181" t="s">
        <v>274</v>
      </c>
      <c r="C181" s="6">
        <v>46120</v>
      </c>
      <c r="D181" t="s">
        <v>781</v>
      </c>
      <c r="E181">
        <v>3998</v>
      </c>
      <c r="F181" t="s">
        <v>782</v>
      </c>
    </row>
    <row r="182" spans="1:6">
      <c r="A182" t="s">
        <v>979</v>
      </c>
      <c r="B182" t="s">
        <v>689</v>
      </c>
      <c r="C182" s="6">
        <v>46151</v>
      </c>
      <c r="D182" t="s">
        <v>790</v>
      </c>
      <c r="E182">
        <v>5598</v>
      </c>
      <c r="F182" t="s">
        <v>782</v>
      </c>
    </row>
    <row r="183" spans="1:6">
      <c r="A183" t="s">
        <v>981</v>
      </c>
      <c r="B183" t="s">
        <v>735</v>
      </c>
      <c r="C183" s="6">
        <v>46033</v>
      </c>
      <c r="D183" t="s">
        <v>781</v>
      </c>
      <c r="E183">
        <v>1598</v>
      </c>
      <c r="F183" t="s">
        <v>782</v>
      </c>
    </row>
    <row r="184" spans="1:6">
      <c r="A184" t="s">
        <v>982</v>
      </c>
      <c r="B184" t="s">
        <v>621</v>
      </c>
      <c r="C184" s="6">
        <v>46096</v>
      </c>
      <c r="D184" t="s">
        <v>790</v>
      </c>
      <c r="E184">
        <v>999</v>
      </c>
      <c r="F184" t="s">
        <v>792</v>
      </c>
    </row>
    <row r="185" spans="1:6">
      <c r="A185" t="s">
        <v>983</v>
      </c>
      <c r="B185" t="s">
        <v>132</v>
      </c>
      <c r="C185" s="6">
        <v>46125</v>
      </c>
      <c r="D185" t="s">
        <v>784</v>
      </c>
      <c r="E185">
        <v>1499</v>
      </c>
      <c r="F185" t="s">
        <v>782</v>
      </c>
    </row>
    <row r="186" spans="1:6">
      <c r="A186" t="s">
        <v>984</v>
      </c>
      <c r="B186" t="s">
        <v>673</v>
      </c>
      <c r="C186" s="6">
        <v>46135</v>
      </c>
      <c r="D186" t="s">
        <v>786</v>
      </c>
      <c r="E186">
        <v>1598</v>
      </c>
      <c r="F186" t="s">
        <v>782</v>
      </c>
    </row>
    <row r="187" spans="1:6">
      <c r="A187" t="s">
        <v>985</v>
      </c>
      <c r="B187" t="s">
        <v>744</v>
      </c>
      <c r="C187" s="6">
        <v>46155</v>
      </c>
      <c r="D187" t="s">
        <v>790</v>
      </c>
      <c r="E187">
        <v>3299</v>
      </c>
      <c r="F187" t="s">
        <v>782</v>
      </c>
    </row>
    <row r="188" spans="1:6">
      <c r="A188" t="s">
        <v>986</v>
      </c>
      <c r="B188" t="s">
        <v>743</v>
      </c>
      <c r="C188" s="6">
        <v>46108</v>
      </c>
      <c r="D188" t="s">
        <v>790</v>
      </c>
      <c r="E188">
        <v>10497</v>
      </c>
      <c r="F188" t="s">
        <v>782</v>
      </c>
    </row>
    <row r="189" spans="1:6">
      <c r="A189" t="s">
        <v>987</v>
      </c>
      <c r="B189" t="s">
        <v>284</v>
      </c>
      <c r="C189" s="6">
        <v>46041</v>
      </c>
      <c r="D189" t="s">
        <v>790</v>
      </c>
      <c r="E189">
        <v>2199</v>
      </c>
      <c r="F189" t="s">
        <v>782</v>
      </c>
    </row>
    <row r="190" spans="1:6">
      <c r="A190" t="s">
        <v>988</v>
      </c>
      <c r="B190" t="s">
        <v>163</v>
      </c>
      <c r="C190" s="6">
        <v>46071</v>
      </c>
      <c r="D190" t="s">
        <v>786</v>
      </c>
      <c r="E190">
        <v>2299</v>
      </c>
      <c r="F190" t="s">
        <v>782</v>
      </c>
    </row>
    <row r="191" spans="1:6">
      <c r="A191" t="s">
        <v>989</v>
      </c>
      <c r="B191" t="s">
        <v>273</v>
      </c>
      <c r="C191" s="6">
        <v>46104</v>
      </c>
      <c r="D191" t="s">
        <v>786</v>
      </c>
      <c r="E191">
        <v>799</v>
      </c>
      <c r="F191" t="s">
        <v>782</v>
      </c>
    </row>
    <row r="192" spans="1:6">
      <c r="A192" t="s">
        <v>990</v>
      </c>
      <c r="B192" t="s">
        <v>682</v>
      </c>
      <c r="C192" s="6">
        <v>46147</v>
      </c>
      <c r="D192" t="s">
        <v>786</v>
      </c>
      <c r="E192">
        <v>1999</v>
      </c>
      <c r="F192" t="s">
        <v>782</v>
      </c>
    </row>
    <row r="193" spans="1:6">
      <c r="A193" t="s">
        <v>991</v>
      </c>
      <c r="B193" t="s">
        <v>702</v>
      </c>
      <c r="C193" s="6">
        <v>46125</v>
      </c>
      <c r="D193" t="s">
        <v>786</v>
      </c>
      <c r="E193">
        <v>3999</v>
      </c>
      <c r="F193" t="s">
        <v>782</v>
      </c>
    </row>
    <row r="194" spans="1:6">
      <c r="A194" t="s">
        <v>992</v>
      </c>
      <c r="B194" t="s">
        <v>434</v>
      </c>
      <c r="C194" s="6">
        <v>46097</v>
      </c>
      <c r="D194" t="s">
        <v>784</v>
      </c>
      <c r="E194">
        <v>2199</v>
      </c>
      <c r="F194" t="s">
        <v>782</v>
      </c>
    </row>
    <row r="195" spans="1:6">
      <c r="A195" t="s">
        <v>993</v>
      </c>
      <c r="B195" t="s">
        <v>596</v>
      </c>
      <c r="C195" s="6">
        <v>46116</v>
      </c>
      <c r="D195" t="s">
        <v>790</v>
      </c>
      <c r="E195">
        <v>7998</v>
      </c>
      <c r="F195" t="s">
        <v>782</v>
      </c>
    </row>
    <row r="196" spans="1:6">
      <c r="A196" t="s">
        <v>994</v>
      </c>
      <c r="B196" t="s">
        <v>770</v>
      </c>
      <c r="C196" s="6">
        <v>46166</v>
      </c>
      <c r="D196" t="s">
        <v>790</v>
      </c>
      <c r="E196">
        <v>2199</v>
      </c>
      <c r="F196" t="s">
        <v>782</v>
      </c>
    </row>
    <row r="197" spans="1:6">
      <c r="A197" t="s">
        <v>995</v>
      </c>
      <c r="B197" t="s">
        <v>449</v>
      </c>
      <c r="C197" s="6">
        <v>46145</v>
      </c>
      <c r="D197" t="s">
        <v>788</v>
      </c>
      <c r="E197">
        <v>1598</v>
      </c>
      <c r="F197" t="s">
        <v>782</v>
      </c>
    </row>
    <row r="198" spans="1:6">
      <c r="A198" t="s">
        <v>996</v>
      </c>
      <c r="B198" t="s">
        <v>659</v>
      </c>
      <c r="C198" s="6">
        <v>46170</v>
      </c>
      <c r="D198" t="s">
        <v>784</v>
      </c>
      <c r="E198">
        <v>4598</v>
      </c>
      <c r="F198" t="s">
        <v>782</v>
      </c>
    </row>
    <row r="199" spans="1:6">
      <c r="A199" t="s">
        <v>997</v>
      </c>
      <c r="B199" t="s">
        <v>279</v>
      </c>
      <c r="C199" s="6">
        <v>46099</v>
      </c>
      <c r="D199" t="s">
        <v>790</v>
      </c>
      <c r="E199">
        <v>3598</v>
      </c>
      <c r="F199" t="s">
        <v>782</v>
      </c>
    </row>
    <row r="200" spans="1:6">
      <c r="A200" t="s">
        <v>998</v>
      </c>
      <c r="B200" t="s">
        <v>437</v>
      </c>
      <c r="C200" s="6">
        <v>46178</v>
      </c>
      <c r="D200" t="s">
        <v>790</v>
      </c>
      <c r="E200">
        <v>1799</v>
      </c>
      <c r="F200" t="s">
        <v>792</v>
      </c>
    </row>
    <row r="201" spans="1:6">
      <c r="A201" t="s">
        <v>999</v>
      </c>
      <c r="B201" t="s">
        <v>323</v>
      </c>
      <c r="C201" s="6">
        <v>46193</v>
      </c>
      <c r="D201" t="s">
        <v>790</v>
      </c>
      <c r="E201">
        <v>3499</v>
      </c>
      <c r="F201" t="s">
        <v>782</v>
      </c>
    </row>
    <row r="202" spans="1:6">
      <c r="A202" t="s">
        <v>1000</v>
      </c>
      <c r="B202" t="s">
        <v>675</v>
      </c>
      <c r="C202" s="6">
        <v>46134</v>
      </c>
      <c r="D202" t="s">
        <v>784</v>
      </c>
      <c r="E202">
        <v>1598</v>
      </c>
      <c r="F202" t="s">
        <v>782</v>
      </c>
    </row>
    <row r="203" spans="1:6">
      <c r="A203" t="s">
        <v>1001</v>
      </c>
      <c r="B203" t="s">
        <v>723</v>
      </c>
      <c r="C203" s="6">
        <v>46084</v>
      </c>
      <c r="D203" t="s">
        <v>790</v>
      </c>
      <c r="E203">
        <v>3999</v>
      </c>
      <c r="F203" t="s">
        <v>782</v>
      </c>
    </row>
    <row r="204" spans="1:6">
      <c r="A204" t="s">
        <v>1002</v>
      </c>
      <c r="B204" t="s">
        <v>121</v>
      </c>
      <c r="C204" s="6">
        <v>46180</v>
      </c>
      <c r="D204" t="s">
        <v>790</v>
      </c>
      <c r="E204">
        <v>2199</v>
      </c>
      <c r="F204" t="s">
        <v>782</v>
      </c>
    </row>
    <row r="205" spans="1:6">
      <c r="A205" t="s">
        <v>1003</v>
      </c>
      <c r="B205" t="s">
        <v>605</v>
      </c>
      <c r="C205" s="6">
        <v>46041</v>
      </c>
      <c r="D205" t="s">
        <v>781</v>
      </c>
      <c r="E205">
        <v>3998</v>
      </c>
      <c r="F205" t="s">
        <v>782</v>
      </c>
    </row>
    <row r="206" spans="1:6">
      <c r="A206" t="s">
        <v>1004</v>
      </c>
      <c r="B206" t="s">
        <v>493</v>
      </c>
      <c r="C206" s="6">
        <v>46108</v>
      </c>
      <c r="D206" t="s">
        <v>790</v>
      </c>
      <c r="E206">
        <v>799</v>
      </c>
      <c r="F206" t="s">
        <v>782</v>
      </c>
    </row>
    <row r="207" spans="1:6">
      <c r="A207" t="s">
        <v>1005</v>
      </c>
      <c r="B207" t="s">
        <v>615</v>
      </c>
      <c r="C207" s="6">
        <v>46086</v>
      </c>
      <c r="D207" t="s">
        <v>781</v>
      </c>
      <c r="E207">
        <v>499</v>
      </c>
      <c r="F207" t="s">
        <v>782</v>
      </c>
    </row>
    <row r="208" spans="1:6">
      <c r="A208" t="s">
        <v>1006</v>
      </c>
      <c r="B208" t="s">
        <v>536</v>
      </c>
      <c r="C208" s="6">
        <v>46143</v>
      </c>
      <c r="D208" t="s">
        <v>781</v>
      </c>
      <c r="E208">
        <v>2299</v>
      </c>
      <c r="F208" t="s">
        <v>782</v>
      </c>
    </row>
    <row r="209" spans="1:6">
      <c r="A209" t="s">
        <v>1007</v>
      </c>
      <c r="B209" t="s">
        <v>538</v>
      </c>
      <c r="C209" s="6">
        <v>46153</v>
      </c>
      <c r="D209" t="s">
        <v>790</v>
      </c>
      <c r="E209">
        <v>2299</v>
      </c>
      <c r="F209" t="s">
        <v>782</v>
      </c>
    </row>
    <row r="210" spans="1:6">
      <c r="A210" t="s">
        <v>1008</v>
      </c>
      <c r="B210" t="s">
        <v>729</v>
      </c>
      <c r="C210" s="6">
        <v>46042</v>
      </c>
      <c r="D210" t="s">
        <v>790</v>
      </c>
      <c r="E210">
        <v>1999</v>
      </c>
      <c r="F210" t="s">
        <v>792</v>
      </c>
    </row>
    <row r="211" spans="1:6">
      <c r="A211" t="s">
        <v>1009</v>
      </c>
      <c r="B211" t="s">
        <v>186</v>
      </c>
      <c r="C211" s="6">
        <v>46188</v>
      </c>
      <c r="D211" t="s">
        <v>786</v>
      </c>
      <c r="E211">
        <v>899</v>
      </c>
      <c r="F211" t="s">
        <v>782</v>
      </c>
    </row>
    <row r="212" spans="1:6">
      <c r="A212" t="s">
        <v>1010</v>
      </c>
      <c r="B212" t="s">
        <v>474</v>
      </c>
      <c r="C212" s="6">
        <v>46177</v>
      </c>
      <c r="D212" t="s">
        <v>786</v>
      </c>
      <c r="E212">
        <v>4998</v>
      </c>
      <c r="F212" t="s">
        <v>782</v>
      </c>
    </row>
    <row r="213" spans="1:6">
      <c r="A213" t="s">
        <v>1011</v>
      </c>
      <c r="B213" t="s">
        <v>674</v>
      </c>
      <c r="C213" s="6">
        <v>46029</v>
      </c>
      <c r="D213" t="s">
        <v>786</v>
      </c>
      <c r="E213">
        <v>4797</v>
      </c>
      <c r="F213" t="s">
        <v>782</v>
      </c>
    </row>
    <row r="214" spans="1:6">
      <c r="A214" t="s">
        <v>1013</v>
      </c>
      <c r="B214" t="s">
        <v>327</v>
      </c>
      <c r="C214" s="6">
        <v>46173</v>
      </c>
      <c r="D214" t="s">
        <v>781</v>
      </c>
      <c r="E214">
        <v>3998</v>
      </c>
      <c r="F214" t="s">
        <v>782</v>
      </c>
    </row>
    <row r="215" spans="1:6">
      <c r="A215" t="s">
        <v>1014</v>
      </c>
      <c r="B215" t="s">
        <v>734</v>
      </c>
      <c r="C215" s="6">
        <v>46182</v>
      </c>
      <c r="D215" t="s">
        <v>788</v>
      </c>
      <c r="E215">
        <v>4598</v>
      </c>
      <c r="F215" t="s">
        <v>782</v>
      </c>
    </row>
    <row r="216" spans="1:6">
      <c r="A216" t="s">
        <v>1015</v>
      </c>
      <c r="B216" t="s">
        <v>760</v>
      </c>
      <c r="C216" s="6">
        <v>46067</v>
      </c>
      <c r="D216" t="s">
        <v>786</v>
      </c>
      <c r="E216">
        <v>1998</v>
      </c>
      <c r="F216" t="s">
        <v>782</v>
      </c>
    </row>
    <row r="217" spans="1:6">
      <c r="A217" t="s">
        <v>1016</v>
      </c>
      <c r="B217" t="s">
        <v>455</v>
      </c>
      <c r="C217" s="6">
        <v>46201</v>
      </c>
      <c r="D217" t="s">
        <v>788</v>
      </c>
      <c r="E217">
        <v>899</v>
      </c>
      <c r="F217" t="s">
        <v>782</v>
      </c>
    </row>
    <row r="218" spans="1:6">
      <c r="A218" t="s">
        <v>1017</v>
      </c>
      <c r="B218" t="s">
        <v>86</v>
      </c>
      <c r="C218" s="6">
        <v>46160</v>
      </c>
      <c r="D218" t="s">
        <v>784</v>
      </c>
      <c r="E218">
        <v>3499</v>
      </c>
      <c r="F218" t="s">
        <v>782</v>
      </c>
    </row>
    <row r="219" spans="1:6">
      <c r="A219" t="s">
        <v>1018</v>
      </c>
      <c r="B219" t="s">
        <v>603</v>
      </c>
      <c r="C219" s="6">
        <v>46199</v>
      </c>
      <c r="D219" t="s">
        <v>784</v>
      </c>
      <c r="E219">
        <v>1999</v>
      </c>
      <c r="F219" t="s">
        <v>782</v>
      </c>
    </row>
    <row r="220" spans="1:6">
      <c r="A220" t="s">
        <v>1019</v>
      </c>
      <c r="B220" t="s">
        <v>489</v>
      </c>
      <c r="C220" s="6">
        <v>46097</v>
      </c>
      <c r="D220" t="s">
        <v>784</v>
      </c>
      <c r="E220">
        <v>2497</v>
      </c>
      <c r="F220" t="s">
        <v>782</v>
      </c>
    </row>
    <row r="221" spans="1:6">
      <c r="A221" t="s">
        <v>1020</v>
      </c>
      <c r="B221" t="s">
        <v>569</v>
      </c>
      <c r="C221" s="6">
        <v>46141</v>
      </c>
      <c r="D221" t="s">
        <v>788</v>
      </c>
      <c r="E221">
        <v>1299</v>
      </c>
      <c r="F221" t="s">
        <v>782</v>
      </c>
    </row>
    <row r="222" spans="1:6">
      <c r="A222" t="s">
        <v>1021</v>
      </c>
      <c r="B222" t="s">
        <v>666</v>
      </c>
      <c r="C222" s="6">
        <v>46192</v>
      </c>
      <c r="D222" t="s">
        <v>781</v>
      </c>
      <c r="E222">
        <v>2499</v>
      </c>
      <c r="F222" t="s">
        <v>782</v>
      </c>
    </row>
    <row r="223" spans="1:6">
      <c r="A223" t="s">
        <v>1022</v>
      </c>
      <c r="B223" t="s">
        <v>377</v>
      </c>
      <c r="C223" s="6">
        <v>46200</v>
      </c>
      <c r="D223" t="s">
        <v>784</v>
      </c>
      <c r="E223">
        <v>2997</v>
      </c>
      <c r="F223" t="s">
        <v>782</v>
      </c>
    </row>
    <row r="224" spans="1:6">
      <c r="A224" t="s">
        <v>1023</v>
      </c>
      <c r="B224" t="s">
        <v>218</v>
      </c>
      <c r="C224" s="6">
        <v>46104</v>
      </c>
      <c r="D224" t="s">
        <v>784</v>
      </c>
      <c r="E224">
        <v>2499</v>
      </c>
      <c r="F224" t="s">
        <v>782</v>
      </c>
    </row>
    <row r="225" spans="1:6">
      <c r="A225" t="s">
        <v>1024</v>
      </c>
      <c r="B225" t="s">
        <v>270</v>
      </c>
      <c r="C225" s="6">
        <v>46180</v>
      </c>
      <c r="D225" t="s">
        <v>786</v>
      </c>
      <c r="E225">
        <v>2299</v>
      </c>
      <c r="F225" t="s">
        <v>782</v>
      </c>
    </row>
    <row r="226" spans="1:6">
      <c r="A226" t="s">
        <v>1025</v>
      </c>
      <c r="B226" t="s">
        <v>192</v>
      </c>
      <c r="C226" s="6">
        <v>46113</v>
      </c>
      <c r="D226" t="s">
        <v>781</v>
      </c>
      <c r="E226">
        <v>2499</v>
      </c>
      <c r="F226" t="s">
        <v>782</v>
      </c>
    </row>
    <row r="227" spans="1:6">
      <c r="A227" t="s">
        <v>1026</v>
      </c>
      <c r="B227" t="s">
        <v>712</v>
      </c>
      <c r="C227" s="6">
        <v>46096</v>
      </c>
      <c r="D227" t="s">
        <v>788</v>
      </c>
      <c r="E227">
        <v>499</v>
      </c>
      <c r="F227" t="s">
        <v>782</v>
      </c>
    </row>
    <row r="228" spans="1:6">
      <c r="A228" t="s">
        <v>1027</v>
      </c>
      <c r="B228" t="s">
        <v>637</v>
      </c>
      <c r="C228" s="6">
        <v>46096</v>
      </c>
      <c r="D228" t="s">
        <v>788</v>
      </c>
      <c r="E228">
        <v>599</v>
      </c>
      <c r="F228" t="s">
        <v>782</v>
      </c>
    </row>
    <row r="229" spans="1:6">
      <c r="A229" t="s">
        <v>1028</v>
      </c>
      <c r="B229" t="s">
        <v>710</v>
      </c>
      <c r="C229" s="6">
        <v>46161</v>
      </c>
      <c r="D229" t="s">
        <v>784</v>
      </c>
      <c r="E229">
        <v>1099</v>
      </c>
      <c r="F229" t="s">
        <v>782</v>
      </c>
    </row>
    <row r="230" spans="1:6">
      <c r="A230" t="s">
        <v>1029</v>
      </c>
      <c r="B230" t="s">
        <v>429</v>
      </c>
      <c r="C230" s="6">
        <v>46071</v>
      </c>
      <c r="D230" t="s">
        <v>781</v>
      </c>
      <c r="E230">
        <v>3499</v>
      </c>
      <c r="F230" t="s">
        <v>782</v>
      </c>
    </row>
    <row r="231" spans="1:6">
      <c r="A231" t="s">
        <v>1030</v>
      </c>
      <c r="B231" t="s">
        <v>403</v>
      </c>
      <c r="C231" s="6">
        <v>46106</v>
      </c>
      <c r="D231" t="s">
        <v>788</v>
      </c>
      <c r="E231">
        <v>1899</v>
      </c>
      <c r="F231" t="s">
        <v>782</v>
      </c>
    </row>
    <row r="232" spans="1:6">
      <c r="A232" t="s">
        <v>1031</v>
      </c>
      <c r="B232" t="s">
        <v>700</v>
      </c>
      <c r="C232" s="6">
        <v>46040</v>
      </c>
      <c r="D232" t="s">
        <v>786</v>
      </c>
      <c r="E232">
        <v>1998</v>
      </c>
      <c r="F232" t="s">
        <v>782</v>
      </c>
    </row>
    <row r="233" spans="1:6">
      <c r="A233" t="s">
        <v>1032</v>
      </c>
      <c r="B233" t="s">
        <v>634</v>
      </c>
      <c r="C233" s="6">
        <v>46078</v>
      </c>
      <c r="D233" t="s">
        <v>786</v>
      </c>
      <c r="E233">
        <v>1999</v>
      </c>
      <c r="F233" t="s">
        <v>782</v>
      </c>
    </row>
    <row r="234" spans="1:6">
      <c r="A234" t="s">
        <v>1033</v>
      </c>
      <c r="B234" t="s">
        <v>374</v>
      </c>
      <c r="C234" s="6">
        <v>46035</v>
      </c>
      <c r="D234" t="s">
        <v>788</v>
      </c>
      <c r="E234">
        <v>1299</v>
      </c>
      <c r="F234" t="s">
        <v>782</v>
      </c>
    </row>
    <row r="235" spans="1:6">
      <c r="A235" t="s">
        <v>1034</v>
      </c>
      <c r="B235" t="s">
        <v>167</v>
      </c>
      <c r="C235" s="6">
        <v>46178</v>
      </c>
      <c r="D235" t="s">
        <v>784</v>
      </c>
      <c r="E235">
        <v>1199</v>
      </c>
      <c r="F235" t="s">
        <v>782</v>
      </c>
    </row>
    <row r="236" spans="1:6">
      <c r="A236" t="s">
        <v>1035</v>
      </c>
      <c r="B236" t="s">
        <v>631</v>
      </c>
      <c r="C236" s="6">
        <v>46164</v>
      </c>
      <c r="D236" t="s">
        <v>781</v>
      </c>
      <c r="E236">
        <v>3299</v>
      </c>
      <c r="F236" t="s">
        <v>782</v>
      </c>
    </row>
    <row r="237" spans="1:6">
      <c r="A237" t="s">
        <v>1036</v>
      </c>
      <c r="B237" t="s">
        <v>440</v>
      </c>
      <c r="C237" s="6">
        <v>46167</v>
      </c>
      <c r="D237" t="s">
        <v>788</v>
      </c>
      <c r="E237">
        <v>2199</v>
      </c>
      <c r="F237" t="s">
        <v>782</v>
      </c>
    </row>
    <row r="238" spans="1:6">
      <c r="A238" t="s">
        <v>1037</v>
      </c>
      <c r="B238" t="s">
        <v>441</v>
      </c>
      <c r="C238" s="6">
        <v>46055</v>
      </c>
      <c r="D238" t="s">
        <v>788</v>
      </c>
      <c r="E238">
        <v>2499</v>
      </c>
      <c r="F238" t="s">
        <v>782</v>
      </c>
    </row>
    <row r="239" spans="1:6">
      <c r="A239" t="s">
        <v>1038</v>
      </c>
      <c r="B239" t="s">
        <v>423</v>
      </c>
      <c r="C239" s="6">
        <v>46201</v>
      </c>
      <c r="D239" t="s">
        <v>786</v>
      </c>
      <c r="E239">
        <v>3999</v>
      </c>
      <c r="F239" t="s">
        <v>782</v>
      </c>
    </row>
    <row r="240" spans="1:6">
      <c r="A240" t="s">
        <v>1039</v>
      </c>
      <c r="B240" t="s">
        <v>355</v>
      </c>
      <c r="C240" s="6">
        <v>46047</v>
      </c>
      <c r="D240" t="s">
        <v>788</v>
      </c>
      <c r="E240">
        <v>1999</v>
      </c>
      <c r="F240" t="s">
        <v>782</v>
      </c>
    </row>
    <row r="241" spans="1:6">
      <c r="A241" t="s">
        <v>1040</v>
      </c>
      <c r="B241" t="s">
        <v>515</v>
      </c>
      <c r="C241" s="6">
        <v>46069</v>
      </c>
      <c r="D241" t="s">
        <v>786</v>
      </c>
      <c r="E241">
        <v>1599</v>
      </c>
      <c r="F241" t="s">
        <v>782</v>
      </c>
    </row>
    <row r="242" spans="1:6">
      <c r="A242" t="s">
        <v>1041</v>
      </c>
      <c r="B242" t="s">
        <v>170</v>
      </c>
      <c r="C242" s="6">
        <v>46116</v>
      </c>
      <c r="D242" t="s">
        <v>786</v>
      </c>
      <c r="E242">
        <v>1599</v>
      </c>
      <c r="F242" t="s">
        <v>782</v>
      </c>
    </row>
    <row r="243" spans="1:6">
      <c r="A243" t="s">
        <v>1042</v>
      </c>
      <c r="B243" t="s">
        <v>379</v>
      </c>
      <c r="C243" s="6">
        <v>46134</v>
      </c>
      <c r="D243" t="s">
        <v>781</v>
      </c>
      <c r="E243">
        <v>1799</v>
      </c>
      <c r="F243" t="s">
        <v>782</v>
      </c>
    </row>
    <row r="244" spans="1:6">
      <c r="A244" t="s">
        <v>1043</v>
      </c>
      <c r="B244" t="s">
        <v>611</v>
      </c>
      <c r="C244" s="6">
        <v>46058</v>
      </c>
      <c r="D244" t="s">
        <v>786</v>
      </c>
      <c r="E244">
        <v>499</v>
      </c>
      <c r="F244" t="s">
        <v>782</v>
      </c>
    </row>
    <row r="245" spans="1:6">
      <c r="A245" t="s">
        <v>1044</v>
      </c>
      <c r="B245" t="s">
        <v>672</v>
      </c>
      <c r="C245" s="6">
        <v>46148</v>
      </c>
      <c r="D245" t="s">
        <v>790</v>
      </c>
      <c r="E245">
        <v>1999</v>
      </c>
      <c r="F245" t="s">
        <v>782</v>
      </c>
    </row>
    <row r="246" spans="1:6">
      <c r="A246" t="s">
        <v>1045</v>
      </c>
      <c r="B246" t="s">
        <v>356</v>
      </c>
      <c r="C246" s="6">
        <v>46055</v>
      </c>
      <c r="D246" t="s">
        <v>790</v>
      </c>
      <c r="E246">
        <v>2499</v>
      </c>
      <c r="F246" t="s">
        <v>782</v>
      </c>
    </row>
    <row r="247" spans="1:6">
      <c r="A247" t="s">
        <v>1046</v>
      </c>
      <c r="B247" t="s">
        <v>732</v>
      </c>
      <c r="C247" s="6">
        <v>46043</v>
      </c>
      <c r="D247" t="s">
        <v>784</v>
      </c>
      <c r="E247">
        <v>1999</v>
      </c>
      <c r="F247" t="s">
        <v>782</v>
      </c>
    </row>
    <row r="248" spans="1:6">
      <c r="A248" t="s">
        <v>1047</v>
      </c>
      <c r="B248" t="s">
        <v>178</v>
      </c>
      <c r="C248" s="6">
        <v>46109</v>
      </c>
      <c r="D248" t="s">
        <v>786</v>
      </c>
      <c r="E248">
        <v>2799</v>
      </c>
      <c r="F248" t="s">
        <v>782</v>
      </c>
    </row>
    <row r="249" spans="1:6">
      <c r="A249" t="s">
        <v>1048</v>
      </c>
      <c r="B249" t="s">
        <v>364</v>
      </c>
      <c r="C249" s="6">
        <v>46026</v>
      </c>
      <c r="D249" t="s">
        <v>784</v>
      </c>
      <c r="E249">
        <v>3999</v>
      </c>
      <c r="F249" t="s">
        <v>782</v>
      </c>
    </row>
    <row r="250" spans="1:6">
      <c r="A250" t="s">
        <v>1049</v>
      </c>
      <c r="B250" t="s">
        <v>301</v>
      </c>
      <c r="C250" s="6">
        <v>46179</v>
      </c>
      <c r="D250" t="s">
        <v>786</v>
      </c>
      <c r="E250">
        <v>2598</v>
      </c>
      <c r="F250" t="s">
        <v>782</v>
      </c>
    </row>
    <row r="251" spans="1:6">
      <c r="A251" t="s">
        <v>1050</v>
      </c>
      <c r="B251" t="s">
        <v>570</v>
      </c>
      <c r="C251" s="6">
        <v>46110</v>
      </c>
      <c r="D251" t="s">
        <v>788</v>
      </c>
      <c r="E251">
        <v>1499</v>
      </c>
      <c r="F251" t="s">
        <v>782</v>
      </c>
    </row>
    <row r="252" spans="1:6">
      <c r="A252" t="s">
        <v>1051</v>
      </c>
      <c r="B252" t="s">
        <v>228</v>
      </c>
      <c r="C252" s="6">
        <v>46086</v>
      </c>
      <c r="D252" t="s">
        <v>781</v>
      </c>
      <c r="E252">
        <v>1299</v>
      </c>
      <c r="F252" t="s">
        <v>782</v>
      </c>
    </row>
    <row r="253" spans="1:6">
      <c r="A253" t="s">
        <v>1052</v>
      </c>
      <c r="B253" t="s">
        <v>335</v>
      </c>
      <c r="C253" s="6">
        <v>46178</v>
      </c>
      <c r="D253" t="s">
        <v>781</v>
      </c>
      <c r="E253">
        <v>899</v>
      </c>
      <c r="F253" t="s">
        <v>782</v>
      </c>
    </row>
    <row r="254" spans="1:6">
      <c r="A254" t="s">
        <v>1053</v>
      </c>
      <c r="B254" t="s">
        <v>552</v>
      </c>
      <c r="C254" s="6">
        <v>46141</v>
      </c>
      <c r="D254" t="s">
        <v>784</v>
      </c>
      <c r="E254">
        <v>3299</v>
      </c>
      <c r="F254" t="s">
        <v>782</v>
      </c>
    </row>
    <row r="255" spans="1:6">
      <c r="A255" t="s">
        <v>1054</v>
      </c>
      <c r="B255" t="s">
        <v>479</v>
      </c>
      <c r="C255" s="6">
        <v>46083</v>
      </c>
      <c r="D255" t="s">
        <v>786</v>
      </c>
      <c r="E255">
        <v>2199</v>
      </c>
      <c r="F255" t="s">
        <v>782</v>
      </c>
    </row>
    <row r="256" spans="1:6">
      <c r="A256" t="s">
        <v>1055</v>
      </c>
      <c r="B256" t="s">
        <v>757</v>
      </c>
      <c r="C256" s="6">
        <v>46173</v>
      </c>
      <c r="D256" t="s">
        <v>784</v>
      </c>
      <c r="E256">
        <v>1799</v>
      </c>
      <c r="F256" t="s">
        <v>782</v>
      </c>
    </row>
    <row r="257" spans="1:6">
      <c r="A257" t="s">
        <v>1056</v>
      </c>
      <c r="B257" t="s">
        <v>24</v>
      </c>
      <c r="C257" s="6">
        <v>46090</v>
      </c>
      <c r="D257" t="s">
        <v>786</v>
      </c>
      <c r="E257">
        <v>1299</v>
      </c>
      <c r="F257" t="s">
        <v>782</v>
      </c>
    </row>
    <row r="258" spans="1:6">
      <c r="A258" t="s">
        <v>1057</v>
      </c>
      <c r="B258" t="s">
        <v>599</v>
      </c>
      <c r="C258" s="6">
        <v>46144</v>
      </c>
      <c r="D258" t="s">
        <v>788</v>
      </c>
      <c r="E258">
        <v>2998</v>
      </c>
      <c r="F258" t="s">
        <v>782</v>
      </c>
    </row>
    <row r="259" spans="1:6">
      <c r="A259" t="s">
        <v>1058</v>
      </c>
      <c r="B259" t="s">
        <v>707</v>
      </c>
      <c r="C259" s="6">
        <v>46199</v>
      </c>
      <c r="D259" t="s">
        <v>781</v>
      </c>
      <c r="E259">
        <v>499</v>
      </c>
      <c r="F259" t="s">
        <v>782</v>
      </c>
    </row>
    <row r="260" spans="1:6">
      <c r="A260" t="s">
        <v>1059</v>
      </c>
      <c r="B260" t="s">
        <v>695</v>
      </c>
      <c r="C260" s="6">
        <v>46107</v>
      </c>
      <c r="D260" t="s">
        <v>781</v>
      </c>
      <c r="E260">
        <v>5398</v>
      </c>
      <c r="F260" t="s">
        <v>782</v>
      </c>
    </row>
    <row r="261" spans="1:6">
      <c r="A261" t="s">
        <v>1060</v>
      </c>
      <c r="B261" t="s">
        <v>91</v>
      </c>
      <c r="C261" s="6">
        <v>46106</v>
      </c>
      <c r="D261" t="s">
        <v>788</v>
      </c>
      <c r="E261">
        <v>3598</v>
      </c>
      <c r="F261" t="s">
        <v>782</v>
      </c>
    </row>
    <row r="262" spans="1:6">
      <c r="A262" t="s">
        <v>1061</v>
      </c>
      <c r="B262" t="s">
        <v>584</v>
      </c>
      <c r="C262" s="6">
        <v>46036</v>
      </c>
      <c r="D262" t="s">
        <v>784</v>
      </c>
      <c r="E262">
        <v>799</v>
      </c>
      <c r="F262" t="s">
        <v>782</v>
      </c>
    </row>
    <row r="263" spans="1:6">
      <c r="A263" t="s">
        <v>1062</v>
      </c>
      <c r="B263" t="s">
        <v>390</v>
      </c>
      <c r="C263" s="6">
        <v>46062</v>
      </c>
      <c r="D263" t="s">
        <v>781</v>
      </c>
      <c r="E263">
        <v>499</v>
      </c>
      <c r="F263" t="s">
        <v>782</v>
      </c>
    </row>
    <row r="264" spans="1:6">
      <c r="A264" t="s">
        <v>1063</v>
      </c>
      <c r="B264" t="s">
        <v>225</v>
      </c>
      <c r="C264" s="6">
        <v>46203</v>
      </c>
      <c r="D264" t="s">
        <v>786</v>
      </c>
      <c r="E264">
        <v>1599</v>
      </c>
      <c r="F264" t="s">
        <v>782</v>
      </c>
    </row>
    <row r="265" spans="1:6">
      <c r="A265" t="s">
        <v>1064</v>
      </c>
      <c r="B265" t="s">
        <v>671</v>
      </c>
      <c r="C265" s="6">
        <v>46146</v>
      </c>
      <c r="D265" t="s">
        <v>786</v>
      </c>
      <c r="E265">
        <v>2598</v>
      </c>
      <c r="F265" t="s">
        <v>782</v>
      </c>
    </row>
    <row r="266" spans="1:6">
      <c r="A266" t="s">
        <v>1065</v>
      </c>
      <c r="B266" t="s">
        <v>765</v>
      </c>
      <c r="C266" s="6">
        <v>46170</v>
      </c>
      <c r="D266" t="s">
        <v>790</v>
      </c>
      <c r="E266">
        <v>999</v>
      </c>
      <c r="F266" t="s">
        <v>782</v>
      </c>
    </row>
    <row r="267" spans="1:6">
      <c r="A267" t="s">
        <v>1066</v>
      </c>
      <c r="B267" t="s">
        <v>709</v>
      </c>
      <c r="C267" s="6">
        <v>46198</v>
      </c>
      <c r="D267" t="s">
        <v>788</v>
      </c>
      <c r="E267">
        <v>3499</v>
      </c>
      <c r="F267" t="s">
        <v>782</v>
      </c>
    </row>
    <row r="268" spans="1:6">
      <c r="A268" t="s">
        <v>1067</v>
      </c>
      <c r="B268" t="s">
        <v>774</v>
      </c>
      <c r="C268" s="6">
        <v>46063</v>
      </c>
      <c r="D268" t="s">
        <v>788</v>
      </c>
      <c r="E268">
        <v>1999</v>
      </c>
      <c r="F268" t="s">
        <v>782</v>
      </c>
    </row>
    <row r="269" spans="1:6">
      <c r="A269" t="s">
        <v>1068</v>
      </c>
      <c r="B269" t="s">
        <v>448</v>
      </c>
      <c r="C269" s="6">
        <v>46063</v>
      </c>
      <c r="D269" t="s">
        <v>790</v>
      </c>
      <c r="E269">
        <v>2697</v>
      </c>
      <c r="F269" t="s">
        <v>782</v>
      </c>
    </row>
    <row r="270" spans="1:6">
      <c r="A270" t="s">
        <v>1069</v>
      </c>
      <c r="B270" t="s">
        <v>414</v>
      </c>
      <c r="C270" s="6">
        <v>46041</v>
      </c>
      <c r="D270" t="s">
        <v>781</v>
      </c>
      <c r="E270">
        <v>1199</v>
      </c>
      <c r="F270" t="s">
        <v>782</v>
      </c>
    </row>
    <row r="271" spans="1:6">
      <c r="A271" t="s">
        <v>1070</v>
      </c>
      <c r="B271" t="s">
        <v>668</v>
      </c>
      <c r="C271" s="6">
        <v>46028</v>
      </c>
      <c r="D271" t="s">
        <v>788</v>
      </c>
      <c r="E271">
        <v>3198</v>
      </c>
      <c r="F271" t="s">
        <v>782</v>
      </c>
    </row>
    <row r="272" spans="1:6">
      <c r="A272" t="s">
        <v>1071</v>
      </c>
      <c r="B272" t="s">
        <v>240</v>
      </c>
      <c r="C272" s="6">
        <v>46116</v>
      </c>
      <c r="D272" t="s">
        <v>784</v>
      </c>
      <c r="E272">
        <v>3299</v>
      </c>
      <c r="F272" t="s">
        <v>782</v>
      </c>
    </row>
    <row r="273" spans="1:6">
      <c r="A273" t="s">
        <v>1072</v>
      </c>
      <c r="B273" t="s">
        <v>627</v>
      </c>
      <c r="C273" s="6">
        <v>46130</v>
      </c>
      <c r="D273" t="s">
        <v>790</v>
      </c>
      <c r="E273">
        <v>5598</v>
      </c>
      <c r="F273" t="s">
        <v>782</v>
      </c>
    </row>
    <row r="274" spans="1:6">
      <c r="A274" t="s">
        <v>1073</v>
      </c>
      <c r="B274" t="s">
        <v>278</v>
      </c>
      <c r="C274" s="6">
        <v>46086</v>
      </c>
      <c r="D274" t="s">
        <v>784</v>
      </c>
      <c r="E274">
        <v>2799</v>
      </c>
      <c r="F274" t="s">
        <v>782</v>
      </c>
    </row>
    <row r="275" spans="1:6">
      <c r="A275" t="s">
        <v>1074</v>
      </c>
      <c r="B275" t="s">
        <v>145</v>
      </c>
      <c r="C275" s="6">
        <v>46048</v>
      </c>
      <c r="D275" t="s">
        <v>790</v>
      </c>
      <c r="E275">
        <v>999</v>
      </c>
      <c r="F275" t="s">
        <v>782</v>
      </c>
    </row>
    <row r="276" spans="1:6">
      <c r="A276" t="s">
        <v>1075</v>
      </c>
      <c r="B276" t="s">
        <v>203</v>
      </c>
      <c r="C276" s="6">
        <v>46190</v>
      </c>
      <c r="D276" t="s">
        <v>786</v>
      </c>
      <c r="E276">
        <v>1999</v>
      </c>
      <c r="F276" t="s">
        <v>782</v>
      </c>
    </row>
    <row r="277" spans="1:6">
      <c r="A277" t="s">
        <v>1076</v>
      </c>
      <c r="B277" t="s">
        <v>248</v>
      </c>
      <c r="C277" s="6">
        <v>46047</v>
      </c>
      <c r="D277" t="s">
        <v>788</v>
      </c>
      <c r="E277">
        <v>2299</v>
      </c>
      <c r="F277" t="s">
        <v>782</v>
      </c>
    </row>
    <row r="278" spans="1:6">
      <c r="A278" t="s">
        <v>1077</v>
      </c>
      <c r="B278" t="s">
        <v>492</v>
      </c>
      <c r="C278" s="6">
        <v>46140</v>
      </c>
      <c r="D278" t="s">
        <v>788</v>
      </c>
      <c r="E278">
        <v>2199</v>
      </c>
      <c r="F278" t="s">
        <v>782</v>
      </c>
    </row>
    <row r="279" spans="1:6">
      <c r="A279" t="s">
        <v>1078</v>
      </c>
      <c r="B279" t="s">
        <v>251</v>
      </c>
      <c r="C279" s="6">
        <v>46136</v>
      </c>
      <c r="D279" t="s">
        <v>788</v>
      </c>
      <c r="E279">
        <v>999</v>
      </c>
      <c r="F279" t="s">
        <v>782</v>
      </c>
    </row>
    <row r="280" spans="1:6">
      <c r="A280" t="s">
        <v>1079</v>
      </c>
      <c r="B280" t="s">
        <v>329</v>
      </c>
      <c r="C280" s="6">
        <v>46200</v>
      </c>
      <c r="D280" t="s">
        <v>786</v>
      </c>
      <c r="E280">
        <v>1199</v>
      </c>
      <c r="F280" t="s">
        <v>782</v>
      </c>
    </row>
    <row r="281" spans="1:6">
      <c r="A281" t="s">
        <v>1080</v>
      </c>
      <c r="B281" t="s">
        <v>616</v>
      </c>
      <c r="C281" s="6">
        <v>46113</v>
      </c>
      <c r="D281" t="s">
        <v>788</v>
      </c>
      <c r="E281">
        <v>1999</v>
      </c>
      <c r="F281" t="s">
        <v>782</v>
      </c>
    </row>
    <row r="282" spans="1:6">
      <c r="A282" t="s">
        <v>1081</v>
      </c>
      <c r="B282" t="s">
        <v>97</v>
      </c>
      <c r="C282" s="6">
        <v>46029</v>
      </c>
      <c r="D282" t="s">
        <v>788</v>
      </c>
      <c r="E282">
        <v>2799</v>
      </c>
      <c r="F282" t="s">
        <v>782</v>
      </c>
    </row>
    <row r="283" spans="1:6">
      <c r="A283" t="s">
        <v>1082</v>
      </c>
      <c r="B283" t="s">
        <v>311</v>
      </c>
      <c r="C283" s="6">
        <v>46033</v>
      </c>
      <c r="D283" t="s">
        <v>786</v>
      </c>
      <c r="E283">
        <v>1199</v>
      </c>
      <c r="F283" t="s">
        <v>782</v>
      </c>
    </row>
    <row r="284" spans="1:6">
      <c r="A284" t="s">
        <v>1083</v>
      </c>
      <c r="B284" t="s">
        <v>581</v>
      </c>
      <c r="C284" s="6">
        <v>46162</v>
      </c>
      <c r="D284" t="s">
        <v>788</v>
      </c>
      <c r="E284">
        <v>1199</v>
      </c>
      <c r="F284" t="s">
        <v>782</v>
      </c>
    </row>
    <row r="285" spans="1:6">
      <c r="A285" t="s">
        <v>1084</v>
      </c>
      <c r="B285" t="s">
        <v>243</v>
      </c>
      <c r="C285" s="6">
        <v>46184</v>
      </c>
      <c r="D285" t="s">
        <v>790</v>
      </c>
      <c r="E285">
        <v>1599</v>
      </c>
      <c r="F285" t="s">
        <v>782</v>
      </c>
    </row>
    <row r="286" spans="1:6">
      <c r="A286" t="s">
        <v>1085</v>
      </c>
      <c r="B286" t="s">
        <v>317</v>
      </c>
      <c r="C286" s="6">
        <v>46101</v>
      </c>
      <c r="D286" t="s">
        <v>781</v>
      </c>
      <c r="E286">
        <v>1799</v>
      </c>
      <c r="F286" t="s">
        <v>782</v>
      </c>
    </row>
    <row r="287" spans="1:6">
      <c r="A287" t="s">
        <v>1086</v>
      </c>
      <c r="B287" t="s">
        <v>82</v>
      </c>
      <c r="C287" s="6">
        <v>46184</v>
      </c>
      <c r="D287" t="s">
        <v>784</v>
      </c>
      <c r="E287">
        <v>1999</v>
      </c>
      <c r="F287" t="s">
        <v>782</v>
      </c>
    </row>
    <row r="288" spans="1:6">
      <c r="A288" t="s">
        <v>1087</v>
      </c>
      <c r="B288" t="s">
        <v>424</v>
      </c>
      <c r="C288" s="6">
        <v>46181</v>
      </c>
      <c r="D288" t="s">
        <v>784</v>
      </c>
      <c r="E288">
        <v>2749</v>
      </c>
      <c r="F288" t="s">
        <v>782</v>
      </c>
    </row>
    <row r="289" spans="1:6">
      <c r="A289" t="s">
        <v>1088</v>
      </c>
      <c r="B289" t="s">
        <v>650</v>
      </c>
      <c r="C289" s="6">
        <v>46087</v>
      </c>
      <c r="D289" t="s">
        <v>790</v>
      </c>
      <c r="E289">
        <v>3499</v>
      </c>
      <c r="F289" t="s">
        <v>782</v>
      </c>
    </row>
    <row r="290" spans="1:6">
      <c r="A290" t="s">
        <v>1089</v>
      </c>
      <c r="B290" t="s">
        <v>606</v>
      </c>
      <c r="C290" s="6">
        <v>46139</v>
      </c>
      <c r="D290" t="s">
        <v>781</v>
      </c>
      <c r="E290">
        <v>899</v>
      </c>
      <c r="F290" t="s">
        <v>782</v>
      </c>
    </row>
    <row r="291" spans="1:6">
      <c r="A291" t="s">
        <v>1090</v>
      </c>
      <c r="B291" t="s">
        <v>717</v>
      </c>
      <c r="C291" s="6">
        <v>46133</v>
      </c>
      <c r="D291" t="s">
        <v>781</v>
      </c>
      <c r="E291">
        <v>3999</v>
      </c>
      <c r="F291" t="s">
        <v>782</v>
      </c>
    </row>
    <row r="292" spans="1:6">
      <c r="A292" t="s">
        <v>1091</v>
      </c>
      <c r="B292" t="s">
        <v>368</v>
      </c>
      <c r="C292" s="6">
        <v>46197</v>
      </c>
      <c r="D292" t="s">
        <v>781</v>
      </c>
      <c r="E292">
        <v>3998</v>
      </c>
      <c r="F292" t="s">
        <v>782</v>
      </c>
    </row>
    <row r="293" spans="1:6">
      <c r="A293" t="s">
        <v>1092</v>
      </c>
      <c r="B293" t="s">
        <v>65</v>
      </c>
      <c r="C293" s="6">
        <v>46111</v>
      </c>
      <c r="D293" t="s">
        <v>781</v>
      </c>
      <c r="E293">
        <v>2199</v>
      </c>
      <c r="F293" t="s">
        <v>782</v>
      </c>
    </row>
    <row r="294" spans="1:6">
      <c r="A294" t="s">
        <v>1093</v>
      </c>
      <c r="B294" t="s">
        <v>535</v>
      </c>
      <c r="C294" s="6">
        <v>46066</v>
      </c>
      <c r="D294" t="s">
        <v>790</v>
      </c>
      <c r="E294">
        <v>1998</v>
      </c>
      <c r="F294" t="s">
        <v>782</v>
      </c>
    </row>
    <row r="295" spans="1:6">
      <c r="A295" t="s">
        <v>1094</v>
      </c>
      <c r="B295" t="s">
        <v>763</v>
      </c>
      <c r="C295" s="6">
        <v>46075</v>
      </c>
      <c r="D295" t="s">
        <v>784</v>
      </c>
      <c r="E295">
        <v>1999</v>
      </c>
      <c r="F295" t="s">
        <v>782</v>
      </c>
    </row>
    <row r="296" spans="1:6">
      <c r="A296" t="s">
        <v>1095</v>
      </c>
      <c r="B296" t="s">
        <v>417</v>
      </c>
      <c r="C296" s="6">
        <v>46043</v>
      </c>
      <c r="D296" t="s">
        <v>784</v>
      </c>
      <c r="E296">
        <v>3499</v>
      </c>
      <c r="F296" t="s">
        <v>782</v>
      </c>
    </row>
    <row r="297" spans="1:6">
      <c r="A297" t="s">
        <v>1096</v>
      </c>
      <c r="B297" t="s">
        <v>653</v>
      </c>
      <c r="C297" s="6">
        <v>46079</v>
      </c>
      <c r="D297" t="s">
        <v>790</v>
      </c>
      <c r="E297">
        <v>2499</v>
      </c>
      <c r="F297" t="s">
        <v>792</v>
      </c>
    </row>
    <row r="298" spans="1:6">
      <c r="A298" t="s">
        <v>1097</v>
      </c>
      <c r="B298" t="s">
        <v>771</v>
      </c>
      <c r="C298" s="6">
        <v>46159</v>
      </c>
      <c r="D298" t="s">
        <v>788</v>
      </c>
      <c r="E298">
        <v>1299</v>
      </c>
      <c r="F298" t="s">
        <v>782</v>
      </c>
    </row>
    <row r="299" spans="1:6">
      <c r="A299" t="s">
        <v>1098</v>
      </c>
      <c r="B299" t="s">
        <v>696</v>
      </c>
      <c r="C299" s="6">
        <v>46081</v>
      </c>
      <c r="D299" t="s">
        <v>790</v>
      </c>
      <c r="E299">
        <v>2799</v>
      </c>
      <c r="F299" t="s">
        <v>792</v>
      </c>
    </row>
    <row r="300" spans="1:6">
      <c r="A300" t="s">
        <v>1099</v>
      </c>
      <c r="B300" t="s">
        <v>276</v>
      </c>
      <c r="C300" s="6">
        <v>46169</v>
      </c>
      <c r="D300" t="s">
        <v>790</v>
      </c>
      <c r="E300">
        <v>899</v>
      </c>
      <c r="F300" t="s">
        <v>782</v>
      </c>
    </row>
    <row r="301" spans="1:6">
      <c r="A301" t="s">
        <v>1100</v>
      </c>
      <c r="B301" t="s">
        <v>523</v>
      </c>
      <c r="C301" s="6">
        <v>46048</v>
      </c>
      <c r="D301" t="s">
        <v>786</v>
      </c>
      <c r="E301">
        <v>499</v>
      </c>
      <c r="F301" t="s">
        <v>782</v>
      </c>
    </row>
    <row r="302" spans="1:6">
      <c r="A302" t="s">
        <v>1101</v>
      </c>
      <c r="B302" t="s">
        <v>215</v>
      </c>
      <c r="C302" s="6">
        <v>46080</v>
      </c>
      <c r="D302" t="s">
        <v>790</v>
      </c>
      <c r="E302">
        <v>1998</v>
      </c>
      <c r="F302" t="s">
        <v>782</v>
      </c>
    </row>
    <row r="303" spans="1:6">
      <c r="A303" t="s">
        <v>1102</v>
      </c>
      <c r="B303" t="s">
        <v>182</v>
      </c>
      <c r="C303" s="6">
        <v>46194</v>
      </c>
      <c r="D303" t="s">
        <v>788</v>
      </c>
      <c r="E303">
        <v>499</v>
      </c>
      <c r="F303" t="s">
        <v>782</v>
      </c>
    </row>
    <row r="304" spans="1:6">
      <c r="A304" t="s">
        <v>1103</v>
      </c>
      <c r="B304" t="s">
        <v>639</v>
      </c>
      <c r="C304" s="6">
        <v>46039</v>
      </c>
      <c r="D304" t="s">
        <v>784</v>
      </c>
      <c r="E304">
        <v>2598</v>
      </c>
      <c r="F304" t="s">
        <v>782</v>
      </c>
    </row>
    <row r="305" spans="1:6">
      <c r="A305" t="s">
        <v>1104</v>
      </c>
      <c r="B305" t="s">
        <v>737</v>
      </c>
      <c r="C305" s="6">
        <v>46185</v>
      </c>
      <c r="D305" t="s">
        <v>784</v>
      </c>
      <c r="E305">
        <v>9897</v>
      </c>
      <c r="F305" t="s">
        <v>782</v>
      </c>
    </row>
    <row r="306" spans="1:6">
      <c r="A306" t="s">
        <v>1105</v>
      </c>
      <c r="B306" t="s">
        <v>724</v>
      </c>
      <c r="C306" s="6">
        <v>46114</v>
      </c>
      <c r="D306" t="s">
        <v>781</v>
      </c>
      <c r="E306">
        <v>1999</v>
      </c>
      <c r="F306" t="s">
        <v>782</v>
      </c>
    </row>
    <row r="307" spans="1:6">
      <c r="A307" t="s">
        <v>1106</v>
      </c>
      <c r="B307" t="s">
        <v>343</v>
      </c>
      <c r="C307" s="6">
        <v>46094</v>
      </c>
      <c r="D307" t="s">
        <v>788</v>
      </c>
      <c r="E307">
        <v>599</v>
      </c>
      <c r="F307" t="s">
        <v>782</v>
      </c>
    </row>
    <row r="308" spans="1:6">
      <c r="A308" t="s">
        <v>1107</v>
      </c>
      <c r="B308" t="s">
        <v>759</v>
      </c>
      <c r="C308" s="6">
        <v>46138</v>
      </c>
      <c r="D308" t="s">
        <v>786</v>
      </c>
      <c r="E308">
        <v>3499</v>
      </c>
      <c r="F308" t="s">
        <v>782</v>
      </c>
    </row>
    <row r="309" spans="1:6">
      <c r="A309" t="s">
        <v>1108</v>
      </c>
      <c r="B309" t="s">
        <v>721</v>
      </c>
      <c r="C309" s="6">
        <v>46039</v>
      </c>
      <c r="D309" t="s">
        <v>781</v>
      </c>
      <c r="E309">
        <v>1199</v>
      </c>
      <c r="F309" t="s">
        <v>782</v>
      </c>
    </row>
    <row r="310" spans="1:6">
      <c r="A310" t="s">
        <v>1109</v>
      </c>
      <c r="B310" t="s">
        <v>600</v>
      </c>
      <c r="C310" s="6">
        <v>46069</v>
      </c>
      <c r="D310" t="s">
        <v>786</v>
      </c>
      <c r="E310">
        <v>999</v>
      </c>
      <c r="F310" t="s">
        <v>782</v>
      </c>
    </row>
    <row r="311" spans="1:6">
      <c r="A311" t="s">
        <v>1110</v>
      </c>
      <c r="B311" t="s">
        <v>32</v>
      </c>
      <c r="C311" s="6">
        <v>46099</v>
      </c>
      <c r="D311" t="s">
        <v>788</v>
      </c>
      <c r="E311">
        <v>4598</v>
      </c>
      <c r="F311" t="s">
        <v>782</v>
      </c>
    </row>
    <row r="312" spans="1:6">
      <c r="A312" t="s">
        <v>1111</v>
      </c>
      <c r="B312" t="s">
        <v>466</v>
      </c>
      <c r="C312" s="6">
        <v>46068</v>
      </c>
      <c r="D312" t="s">
        <v>781</v>
      </c>
      <c r="E312">
        <v>6598</v>
      </c>
      <c r="F312" t="s">
        <v>782</v>
      </c>
    </row>
    <row r="313" spans="1:6">
      <c r="A313" t="s">
        <v>1112</v>
      </c>
      <c r="B313" t="s">
        <v>371</v>
      </c>
      <c r="C313" s="6">
        <v>46174</v>
      </c>
      <c r="D313" t="s">
        <v>784</v>
      </c>
      <c r="E313">
        <v>2499</v>
      </c>
      <c r="F313" t="s">
        <v>782</v>
      </c>
    </row>
    <row r="314" spans="1:6">
      <c r="A314" t="s">
        <v>1113</v>
      </c>
      <c r="B314" t="s">
        <v>326</v>
      </c>
      <c r="C314" s="6">
        <v>46203</v>
      </c>
      <c r="D314" t="s">
        <v>788</v>
      </c>
      <c r="E314">
        <v>4998</v>
      </c>
      <c r="F314" t="s">
        <v>782</v>
      </c>
    </row>
    <row r="315" spans="1:6">
      <c r="A315" t="s">
        <v>1114</v>
      </c>
      <c r="B315" t="s">
        <v>388</v>
      </c>
      <c r="C315" s="6">
        <v>46174</v>
      </c>
      <c r="D315" t="s">
        <v>790</v>
      </c>
      <c r="E315">
        <v>1598</v>
      </c>
      <c r="F315" t="s">
        <v>782</v>
      </c>
    </row>
    <row r="316" spans="1:6">
      <c r="A316" t="s">
        <v>1115</v>
      </c>
      <c r="B316" t="s">
        <v>667</v>
      </c>
      <c r="C316" s="6">
        <v>46035</v>
      </c>
      <c r="D316" t="s">
        <v>790</v>
      </c>
      <c r="E316">
        <v>1299</v>
      </c>
      <c r="F316" t="s">
        <v>782</v>
      </c>
    </row>
    <row r="317" spans="1:6">
      <c r="A317" t="s">
        <v>1116</v>
      </c>
      <c r="B317" t="s">
        <v>651</v>
      </c>
      <c r="C317" s="6">
        <v>46043</v>
      </c>
      <c r="D317" t="s">
        <v>786</v>
      </c>
      <c r="E317">
        <v>499</v>
      </c>
      <c r="F317" t="s">
        <v>782</v>
      </c>
    </row>
    <row r="318" spans="1:6">
      <c r="A318" t="s">
        <v>1117</v>
      </c>
      <c r="B318" t="s">
        <v>531</v>
      </c>
      <c r="C318" s="6">
        <v>46093</v>
      </c>
      <c r="D318" t="s">
        <v>788</v>
      </c>
      <c r="E318">
        <v>499</v>
      </c>
      <c r="F318" t="s">
        <v>782</v>
      </c>
    </row>
    <row r="319" spans="1:6">
      <c r="A319" t="s">
        <v>1118</v>
      </c>
      <c r="B319" t="s">
        <v>290</v>
      </c>
      <c r="C319" s="6">
        <v>46094</v>
      </c>
      <c r="D319" t="s">
        <v>781</v>
      </c>
      <c r="E319">
        <v>2299</v>
      </c>
      <c r="F319" t="s">
        <v>782</v>
      </c>
    </row>
    <row r="320" spans="1:6">
      <c r="A320" t="s">
        <v>1119</v>
      </c>
      <c r="B320" t="s">
        <v>171</v>
      </c>
      <c r="C320" s="6">
        <v>46202</v>
      </c>
      <c r="D320" t="s">
        <v>788</v>
      </c>
      <c r="E320">
        <v>3499</v>
      </c>
      <c r="F320" t="s">
        <v>782</v>
      </c>
    </row>
    <row r="321" spans="1:6">
      <c r="A321" t="s">
        <v>1120</v>
      </c>
      <c r="B321" t="s">
        <v>154</v>
      </c>
      <c r="C321" s="6">
        <v>46111</v>
      </c>
      <c r="D321" t="s">
        <v>784</v>
      </c>
      <c r="E321">
        <v>2398</v>
      </c>
      <c r="F321" t="s">
        <v>782</v>
      </c>
    </row>
    <row r="322" spans="1:6">
      <c r="A322" t="s">
        <v>1121</v>
      </c>
      <c r="B322" t="s">
        <v>699</v>
      </c>
      <c r="C322" s="6">
        <v>46097</v>
      </c>
      <c r="D322" t="s">
        <v>781</v>
      </c>
      <c r="E322">
        <v>6597</v>
      </c>
      <c r="F322" t="s">
        <v>782</v>
      </c>
    </row>
    <row r="323" spans="1:6">
      <c r="A323" t="s">
        <v>1122</v>
      </c>
      <c r="B323" t="s">
        <v>546</v>
      </c>
      <c r="C323" s="6">
        <v>46045</v>
      </c>
      <c r="D323" t="s">
        <v>781</v>
      </c>
      <c r="E323">
        <v>2398</v>
      </c>
      <c r="F323" t="s">
        <v>782</v>
      </c>
    </row>
    <row r="324" spans="1:6">
      <c r="A324" t="s">
        <v>1123</v>
      </c>
      <c r="B324" t="s">
        <v>587</v>
      </c>
      <c r="C324" s="6">
        <v>46131</v>
      </c>
      <c r="D324" t="s">
        <v>784</v>
      </c>
      <c r="E324">
        <v>4598</v>
      </c>
      <c r="F324" t="s">
        <v>782</v>
      </c>
    </row>
    <row r="325" spans="1:6">
      <c r="A325" t="s">
        <v>1124</v>
      </c>
      <c r="B325" t="s">
        <v>519</v>
      </c>
      <c r="C325" s="6">
        <v>46062</v>
      </c>
      <c r="D325" t="s">
        <v>781</v>
      </c>
      <c r="E325">
        <v>3198</v>
      </c>
      <c r="F325" t="s">
        <v>782</v>
      </c>
    </row>
    <row r="326" spans="1:6">
      <c r="A326" t="s">
        <v>1125</v>
      </c>
      <c r="B326" t="s">
        <v>341</v>
      </c>
      <c r="C326" s="6">
        <v>46188</v>
      </c>
      <c r="D326" t="s">
        <v>788</v>
      </c>
      <c r="E326">
        <v>1799</v>
      </c>
      <c r="F326" t="s">
        <v>782</v>
      </c>
    </row>
    <row r="327" spans="1:6">
      <c r="A327" t="s">
        <v>1126</v>
      </c>
      <c r="B327" t="s">
        <v>525</v>
      </c>
      <c r="C327" s="6">
        <v>46195</v>
      </c>
      <c r="D327" t="s">
        <v>790</v>
      </c>
      <c r="E327">
        <v>2299</v>
      </c>
      <c r="F327" t="s">
        <v>782</v>
      </c>
    </row>
    <row r="328" spans="1:6">
      <c r="A328" t="s">
        <v>1127</v>
      </c>
      <c r="B328" t="s">
        <v>393</v>
      </c>
      <c r="C328" s="6">
        <v>46044</v>
      </c>
      <c r="D328" t="s">
        <v>790</v>
      </c>
      <c r="E328">
        <v>899</v>
      </c>
      <c r="F328" t="s">
        <v>782</v>
      </c>
    </row>
    <row r="329" spans="1:6">
      <c r="A329" t="s">
        <v>1128</v>
      </c>
      <c r="B329" t="s">
        <v>576</v>
      </c>
      <c r="C329" s="6">
        <v>46063</v>
      </c>
      <c r="D329" t="s">
        <v>790</v>
      </c>
      <c r="E329">
        <v>6998</v>
      </c>
      <c r="F329" t="s">
        <v>782</v>
      </c>
    </row>
    <row r="330" spans="1:6">
      <c r="A330" t="s">
        <v>1129</v>
      </c>
      <c r="B330" t="s">
        <v>620</v>
      </c>
      <c r="C330" s="6">
        <v>46191</v>
      </c>
      <c r="D330" t="s">
        <v>790</v>
      </c>
      <c r="E330">
        <v>3198</v>
      </c>
      <c r="F330" t="s">
        <v>782</v>
      </c>
    </row>
    <row r="331" spans="1:6">
      <c r="A331" t="s">
        <v>1130</v>
      </c>
      <c r="B331" t="s">
        <v>421</v>
      </c>
      <c r="C331" s="6">
        <v>46032</v>
      </c>
      <c r="D331" t="s">
        <v>790</v>
      </c>
      <c r="E331">
        <v>899</v>
      </c>
      <c r="F331" t="s">
        <v>792</v>
      </c>
    </row>
    <row r="332" spans="1:6">
      <c r="A332" t="s">
        <v>1131</v>
      </c>
      <c r="B332" t="s">
        <v>365</v>
      </c>
      <c r="C332" s="6">
        <v>46061</v>
      </c>
      <c r="D332" t="s">
        <v>786</v>
      </c>
      <c r="E332">
        <v>1199</v>
      </c>
      <c r="F332" t="s">
        <v>782</v>
      </c>
    </row>
    <row r="333" spans="1:6">
      <c r="A333" t="s">
        <v>1132</v>
      </c>
      <c r="B333" t="s">
        <v>748</v>
      </c>
      <c r="C333" s="6">
        <v>46129</v>
      </c>
      <c r="D333" t="s">
        <v>788</v>
      </c>
      <c r="E333">
        <v>899</v>
      </c>
      <c r="F333" t="s">
        <v>782</v>
      </c>
    </row>
    <row r="334" spans="1:6">
      <c r="A334" t="s">
        <v>1133</v>
      </c>
      <c r="B334" t="s">
        <v>658</v>
      </c>
      <c r="C334" s="6">
        <v>46086</v>
      </c>
      <c r="D334" t="s">
        <v>786</v>
      </c>
      <c r="E334">
        <v>1999</v>
      </c>
      <c r="F334" t="s">
        <v>782</v>
      </c>
    </row>
    <row r="335" spans="1:6">
      <c r="A335" t="s">
        <v>1134</v>
      </c>
      <c r="B335" t="s">
        <v>609</v>
      </c>
      <c r="C335" s="6">
        <v>46155</v>
      </c>
      <c r="D335" t="s">
        <v>788</v>
      </c>
      <c r="E335">
        <v>1999</v>
      </c>
      <c r="F335" t="s">
        <v>782</v>
      </c>
    </row>
    <row r="336" spans="1:6">
      <c r="A336" t="s">
        <v>1135</v>
      </c>
      <c r="B336" t="s">
        <v>257</v>
      </c>
      <c r="C336" s="6">
        <v>46028</v>
      </c>
      <c r="D336" t="s">
        <v>790</v>
      </c>
      <c r="E336">
        <v>1499</v>
      </c>
      <c r="F336" t="s">
        <v>782</v>
      </c>
    </row>
    <row r="337" spans="1:6">
      <c r="A337" t="s">
        <v>1136</v>
      </c>
      <c r="B337" t="s">
        <v>572</v>
      </c>
      <c r="C337" s="6">
        <v>46087</v>
      </c>
      <c r="D337" t="s">
        <v>781</v>
      </c>
      <c r="E337">
        <v>2398</v>
      </c>
      <c r="F337" t="s">
        <v>782</v>
      </c>
    </row>
    <row r="338" spans="1:6">
      <c r="A338" t="s">
        <v>1137</v>
      </c>
      <c r="B338" t="s">
        <v>567</v>
      </c>
      <c r="C338" s="6">
        <v>46138</v>
      </c>
      <c r="D338" t="s">
        <v>786</v>
      </c>
      <c r="E338">
        <v>2799</v>
      </c>
      <c r="F338" t="s">
        <v>782</v>
      </c>
    </row>
    <row r="339" spans="1:6">
      <c r="A339" t="s">
        <v>1138</v>
      </c>
      <c r="B339" t="s">
        <v>540</v>
      </c>
      <c r="C339" s="6">
        <v>46198</v>
      </c>
      <c r="D339" t="s">
        <v>788</v>
      </c>
      <c r="E339">
        <v>1599</v>
      </c>
      <c r="F339" t="s">
        <v>782</v>
      </c>
    </row>
    <row r="340" spans="1:6">
      <c r="A340" t="s">
        <v>1139</v>
      </c>
      <c r="B340" t="s">
        <v>70</v>
      </c>
      <c r="C340" s="6">
        <v>46045</v>
      </c>
      <c r="D340" t="s">
        <v>788</v>
      </c>
      <c r="E340">
        <v>2299</v>
      </c>
      <c r="F340" t="s">
        <v>782</v>
      </c>
    </row>
    <row r="341" spans="1:6">
      <c r="A341" t="s">
        <v>1140</v>
      </c>
      <c r="B341" t="s">
        <v>664</v>
      </c>
      <c r="C341" s="6">
        <v>46044</v>
      </c>
      <c r="D341" t="s">
        <v>786</v>
      </c>
      <c r="E341">
        <v>499</v>
      </c>
      <c r="F341" t="s">
        <v>782</v>
      </c>
    </row>
    <row r="342" spans="1:6">
      <c r="A342" t="s">
        <v>1141</v>
      </c>
      <c r="B342" t="s">
        <v>439</v>
      </c>
      <c r="C342" s="6">
        <v>46144</v>
      </c>
      <c r="D342" t="s">
        <v>788</v>
      </c>
      <c r="E342">
        <v>2199</v>
      </c>
      <c r="F342" t="s">
        <v>782</v>
      </c>
    </row>
    <row r="343" spans="1:6">
      <c r="A343" t="s">
        <v>1142</v>
      </c>
      <c r="B343" t="s">
        <v>563</v>
      </c>
      <c r="C343" s="6">
        <v>46169</v>
      </c>
      <c r="D343" t="s">
        <v>784</v>
      </c>
      <c r="E343">
        <v>998</v>
      </c>
      <c r="F343" t="s">
        <v>782</v>
      </c>
    </row>
    <row r="344" spans="1:6">
      <c r="A344" t="s">
        <v>1143</v>
      </c>
      <c r="B344" t="s">
        <v>142</v>
      </c>
      <c r="C344" s="6">
        <v>46086</v>
      </c>
      <c r="D344" t="s">
        <v>781</v>
      </c>
      <c r="E344">
        <v>4497</v>
      </c>
      <c r="F344" t="s">
        <v>782</v>
      </c>
    </row>
    <row r="345" spans="1:6">
      <c r="A345" t="s">
        <v>1144</v>
      </c>
      <c r="B345" t="s">
        <v>147</v>
      </c>
      <c r="C345" s="6">
        <v>46074</v>
      </c>
      <c r="D345" t="s">
        <v>788</v>
      </c>
      <c r="E345">
        <v>799</v>
      </c>
      <c r="F345" t="s">
        <v>782</v>
      </c>
    </row>
    <row r="346" spans="1:6">
      <c r="A346" t="s">
        <v>1145</v>
      </c>
      <c r="B346" t="s">
        <v>559</v>
      </c>
      <c r="C346" s="6">
        <v>46031</v>
      </c>
      <c r="D346" t="s">
        <v>784</v>
      </c>
      <c r="E346">
        <v>6998</v>
      </c>
      <c r="F346" t="s">
        <v>782</v>
      </c>
    </row>
    <row r="347" spans="1:6">
      <c r="A347" t="s">
        <v>1146</v>
      </c>
      <c r="B347" t="s">
        <v>697</v>
      </c>
      <c r="C347" s="6">
        <v>46056</v>
      </c>
      <c r="D347" t="s">
        <v>786</v>
      </c>
      <c r="E347">
        <v>1598</v>
      </c>
      <c r="F347" t="s">
        <v>782</v>
      </c>
    </row>
    <row r="348" spans="1:6">
      <c r="A348" t="s">
        <v>1147</v>
      </c>
      <c r="B348" t="s">
        <v>509</v>
      </c>
      <c r="C348" s="6">
        <v>46039</v>
      </c>
      <c r="D348" t="s">
        <v>790</v>
      </c>
      <c r="E348">
        <v>1199</v>
      </c>
      <c r="F348" t="s">
        <v>782</v>
      </c>
    </row>
    <row r="349" spans="1:6">
      <c r="A349" t="s">
        <v>1148</v>
      </c>
      <c r="B349" t="s">
        <v>553</v>
      </c>
      <c r="C349" s="6">
        <v>46114</v>
      </c>
      <c r="D349" t="s">
        <v>786</v>
      </c>
      <c r="E349">
        <v>499</v>
      </c>
      <c r="F349" t="s">
        <v>782</v>
      </c>
    </row>
    <row r="350" spans="1:6">
      <c r="A350" t="s">
        <v>1149</v>
      </c>
      <c r="B350" t="s">
        <v>518</v>
      </c>
      <c r="C350" s="6">
        <v>46057</v>
      </c>
      <c r="D350" t="s">
        <v>784</v>
      </c>
      <c r="E350">
        <v>4598</v>
      </c>
      <c r="F350" t="s">
        <v>782</v>
      </c>
    </row>
    <row r="351" spans="1:6">
      <c r="A351" t="s">
        <v>1150</v>
      </c>
      <c r="B351" t="s">
        <v>738</v>
      </c>
      <c r="C351" s="6">
        <v>46135</v>
      </c>
      <c r="D351" t="s">
        <v>784</v>
      </c>
      <c r="E351">
        <v>1599</v>
      </c>
      <c r="F351" t="s">
        <v>782</v>
      </c>
    </row>
    <row r="352" spans="1:6">
      <c r="A352" t="s">
        <v>1151</v>
      </c>
      <c r="B352" t="s">
        <v>741</v>
      </c>
      <c r="C352" s="6">
        <v>46054</v>
      </c>
      <c r="D352" t="s">
        <v>788</v>
      </c>
      <c r="E352">
        <v>1598</v>
      </c>
      <c r="F352" t="s">
        <v>782</v>
      </c>
    </row>
    <row r="353" spans="1:6">
      <c r="A353" t="s">
        <v>1152</v>
      </c>
      <c r="B353" t="s">
        <v>602</v>
      </c>
      <c r="C353" s="6">
        <v>46195</v>
      </c>
      <c r="D353" t="s">
        <v>788</v>
      </c>
      <c r="E353">
        <v>3299</v>
      </c>
      <c r="F353" t="s">
        <v>782</v>
      </c>
    </row>
    <row r="354" spans="1:6">
      <c r="A354" t="s">
        <v>1153</v>
      </c>
      <c r="B354" t="s">
        <v>209</v>
      </c>
      <c r="C354" s="6">
        <v>46107</v>
      </c>
      <c r="D354" t="s">
        <v>786</v>
      </c>
      <c r="E354">
        <v>499</v>
      </c>
      <c r="F354" t="s">
        <v>782</v>
      </c>
    </row>
    <row r="355" spans="1:6">
      <c r="A355" t="s">
        <v>1155</v>
      </c>
      <c r="B355" t="s">
        <v>549</v>
      </c>
      <c r="C355" s="6">
        <v>46160</v>
      </c>
      <c r="D355" t="s">
        <v>788</v>
      </c>
      <c r="E355">
        <v>599</v>
      </c>
      <c r="F355" t="s">
        <v>782</v>
      </c>
    </row>
    <row r="356" spans="1:6">
      <c r="A356" t="s">
        <v>1156</v>
      </c>
      <c r="B356" t="s">
        <v>396</v>
      </c>
      <c r="C356" s="6">
        <v>46192</v>
      </c>
      <c r="D356" t="s">
        <v>781</v>
      </c>
      <c r="E356">
        <v>3999</v>
      </c>
      <c r="F356" t="s">
        <v>782</v>
      </c>
    </row>
    <row r="357" spans="1:6">
      <c r="A357" t="s">
        <v>1157</v>
      </c>
      <c r="B357" t="s">
        <v>446</v>
      </c>
      <c r="C357" s="6">
        <v>46060</v>
      </c>
      <c r="D357" t="s">
        <v>788</v>
      </c>
      <c r="E357">
        <v>899</v>
      </c>
      <c r="F357" t="s">
        <v>782</v>
      </c>
    </row>
    <row r="358" spans="1:6">
      <c r="A358" t="s">
        <v>1158</v>
      </c>
      <c r="B358" t="s">
        <v>410</v>
      </c>
      <c r="C358" s="6">
        <v>46080</v>
      </c>
      <c r="D358" t="s">
        <v>788</v>
      </c>
      <c r="E358">
        <v>2199</v>
      </c>
      <c r="F358" t="s">
        <v>782</v>
      </c>
    </row>
    <row r="359" spans="1:6">
      <c r="A359" t="s">
        <v>1159</v>
      </c>
      <c r="B359" t="s">
        <v>407</v>
      </c>
      <c r="C359" s="6">
        <v>46111</v>
      </c>
      <c r="D359" t="s">
        <v>790</v>
      </c>
      <c r="E359">
        <v>499</v>
      </c>
      <c r="F359" t="s">
        <v>782</v>
      </c>
    </row>
    <row r="360" spans="1:6">
      <c r="A360" t="s">
        <v>1160</v>
      </c>
      <c r="B360" t="s">
        <v>188</v>
      </c>
      <c r="C360" s="6">
        <v>46043</v>
      </c>
      <c r="D360" t="s">
        <v>781</v>
      </c>
      <c r="E360">
        <v>3499</v>
      </c>
      <c r="F360" t="s">
        <v>782</v>
      </c>
    </row>
    <row r="361" spans="1:6">
      <c r="A361" t="s">
        <v>1162</v>
      </c>
      <c r="B361" t="s">
        <v>630</v>
      </c>
      <c r="C361" s="6">
        <v>46181</v>
      </c>
      <c r="D361" t="s">
        <v>784</v>
      </c>
      <c r="E361">
        <v>799</v>
      </c>
      <c r="F361" t="s">
        <v>782</v>
      </c>
    </row>
    <row r="362" spans="1:6">
      <c r="A362" t="s">
        <v>1163</v>
      </c>
      <c r="B362" t="s">
        <v>636</v>
      </c>
      <c r="C362" s="6">
        <v>46127</v>
      </c>
      <c r="D362" t="s">
        <v>790</v>
      </c>
      <c r="E362">
        <v>2299</v>
      </c>
      <c r="F362" t="s">
        <v>792</v>
      </c>
    </row>
    <row r="363" spans="1:6">
      <c r="A363" t="s">
        <v>1164</v>
      </c>
      <c r="B363" t="s">
        <v>730</v>
      </c>
      <c r="C363" s="6">
        <v>46187</v>
      </c>
      <c r="D363" t="s">
        <v>786</v>
      </c>
      <c r="E363">
        <v>3499</v>
      </c>
      <c r="F363" t="s">
        <v>782</v>
      </c>
    </row>
    <row r="364" spans="1:6">
      <c r="A364" t="s">
        <v>1165</v>
      </c>
      <c r="B364" t="s">
        <v>384</v>
      </c>
      <c r="C364" s="6">
        <v>46183</v>
      </c>
      <c r="D364" t="s">
        <v>784</v>
      </c>
      <c r="E364">
        <v>4497</v>
      </c>
      <c r="F364" t="s">
        <v>782</v>
      </c>
    </row>
    <row r="365" spans="1:6">
      <c r="A365" t="s">
        <v>1166</v>
      </c>
      <c r="B365" t="s">
        <v>726</v>
      </c>
      <c r="C365" s="6">
        <v>46174</v>
      </c>
      <c r="D365" t="s">
        <v>788</v>
      </c>
      <c r="E365">
        <v>1998</v>
      </c>
      <c r="F365" t="s">
        <v>782</v>
      </c>
    </row>
    <row r="366" spans="1:6">
      <c r="A366" t="s">
        <v>1167</v>
      </c>
      <c r="B366" t="s">
        <v>432</v>
      </c>
      <c r="C366" s="6">
        <v>46172</v>
      </c>
      <c r="D366" t="s">
        <v>784</v>
      </c>
      <c r="E366">
        <v>799</v>
      </c>
      <c r="F366" t="s">
        <v>782</v>
      </c>
    </row>
    <row r="367" spans="1:6">
      <c r="A367" t="s">
        <v>1168</v>
      </c>
      <c r="B367" t="s">
        <v>416</v>
      </c>
      <c r="C367" s="6">
        <v>46197</v>
      </c>
      <c r="D367" t="s">
        <v>788</v>
      </c>
      <c r="E367">
        <v>2299</v>
      </c>
      <c r="F367" t="s">
        <v>782</v>
      </c>
    </row>
    <row r="368" spans="1:6">
      <c r="A368" t="s">
        <v>1169</v>
      </c>
      <c r="B368" t="s">
        <v>79</v>
      </c>
      <c r="C368" s="6">
        <v>46189</v>
      </c>
      <c r="D368" t="s">
        <v>788</v>
      </c>
      <c r="E368">
        <v>1499</v>
      </c>
      <c r="F368" t="s">
        <v>782</v>
      </c>
    </row>
    <row r="369" spans="1:6">
      <c r="A369" t="s">
        <v>1170</v>
      </c>
      <c r="B369" t="s">
        <v>543</v>
      </c>
      <c r="C369" s="6">
        <v>46193</v>
      </c>
      <c r="D369" t="s">
        <v>790</v>
      </c>
      <c r="E369">
        <v>599</v>
      </c>
      <c r="F369" t="s">
        <v>782</v>
      </c>
    </row>
    <row r="370" spans="1:6">
      <c r="A370" t="s">
        <v>1171</v>
      </c>
      <c r="B370" t="s">
        <v>706</v>
      </c>
      <c r="C370" s="6">
        <v>46202</v>
      </c>
      <c r="D370" t="s">
        <v>784</v>
      </c>
      <c r="E370">
        <v>2299</v>
      </c>
      <c r="F370" t="s">
        <v>782</v>
      </c>
    </row>
    <row r="371" spans="1:6">
      <c r="A371" t="s">
        <v>1172</v>
      </c>
      <c r="B371" t="s">
        <v>1173</v>
      </c>
      <c r="C371" s="6">
        <v>46114</v>
      </c>
      <c r="D371" t="s">
        <v>790</v>
      </c>
      <c r="E371">
        <v>1299</v>
      </c>
      <c r="F371" t="s">
        <v>782</v>
      </c>
    </row>
    <row r="372" spans="1:6">
      <c r="A372" t="s">
        <v>1174</v>
      </c>
      <c r="B372" t="s">
        <v>461</v>
      </c>
      <c r="C372" s="6">
        <v>46170</v>
      </c>
      <c r="D372" t="s">
        <v>788</v>
      </c>
      <c r="E372">
        <v>1299</v>
      </c>
      <c r="F372" t="s">
        <v>782</v>
      </c>
    </row>
    <row r="373" spans="1:6">
      <c r="A373" t="s">
        <v>1175</v>
      </c>
      <c r="B373" t="s">
        <v>320</v>
      </c>
      <c r="C373" s="6">
        <v>46042</v>
      </c>
      <c r="D373" t="s">
        <v>786</v>
      </c>
      <c r="E373">
        <v>4797</v>
      </c>
      <c r="F373" t="s">
        <v>782</v>
      </c>
    </row>
    <row r="374" spans="1:6">
      <c r="A374" t="s">
        <v>1176</v>
      </c>
      <c r="B374" t="s">
        <v>495</v>
      </c>
      <c r="C374" s="6">
        <v>46188</v>
      </c>
      <c r="D374" t="s">
        <v>788</v>
      </c>
      <c r="E374">
        <v>7998</v>
      </c>
      <c r="F374" t="s">
        <v>782</v>
      </c>
    </row>
    <row r="375" spans="1:6">
      <c r="A375" t="s">
        <v>1177</v>
      </c>
      <c r="B375" t="s">
        <v>624</v>
      </c>
      <c r="C375" s="6">
        <v>46042</v>
      </c>
      <c r="D375" t="s">
        <v>788</v>
      </c>
      <c r="E375">
        <v>1598</v>
      </c>
      <c r="F375" t="s">
        <v>782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B75B-BAC2-455D-B34F-08B7EE29CDBF}">
  <dimension ref="A1:F87"/>
  <sheetViews>
    <sheetView topLeftCell="A6" workbookViewId="0">
      <selection activeCell="H10" sqref="H10"/>
    </sheetView>
  </sheetViews>
  <sheetFormatPr defaultRowHeight="15"/>
  <cols>
    <col min="1" max="1" width="12.140625" bestFit="1" customWidth="1"/>
    <col min="2" max="2" width="11.28515625" bestFit="1" customWidth="1"/>
    <col min="3" max="3" width="23" bestFit="1" customWidth="1"/>
    <col min="4" max="4" width="16.85546875" bestFit="1" customWidth="1"/>
    <col min="5" max="5" width="15.85546875" bestFit="1" customWidth="1"/>
    <col min="6" max="6" width="28.42578125" bestFit="1" customWidth="1"/>
  </cols>
  <sheetData>
    <row r="1" spans="1:6">
      <c r="A1" t="s">
        <v>1178</v>
      </c>
      <c r="B1" t="s">
        <v>0</v>
      </c>
      <c r="C1" t="s">
        <v>1179</v>
      </c>
      <c r="D1" t="s">
        <v>1180</v>
      </c>
      <c r="E1" t="s">
        <v>1181</v>
      </c>
      <c r="F1" t="s">
        <v>1182</v>
      </c>
    </row>
    <row r="2" spans="1:6">
      <c r="A2" t="s">
        <v>1183</v>
      </c>
      <c r="B2" t="s">
        <v>44</v>
      </c>
      <c r="C2" s="6">
        <v>46155</v>
      </c>
      <c r="D2" t="s">
        <v>1419</v>
      </c>
      <c r="E2" t="s">
        <v>1185</v>
      </c>
      <c r="F2" s="6">
        <v>46162</v>
      </c>
    </row>
    <row r="3" spans="1:6">
      <c r="A3" t="s">
        <v>1186</v>
      </c>
      <c r="B3" t="s">
        <v>343</v>
      </c>
      <c r="C3" s="6">
        <v>46116</v>
      </c>
      <c r="D3" t="s">
        <v>1419</v>
      </c>
      <c r="E3" t="s">
        <v>1185</v>
      </c>
      <c r="F3" s="6">
        <v>46121</v>
      </c>
    </row>
    <row r="4" spans="1:6">
      <c r="A4" t="s">
        <v>1187</v>
      </c>
      <c r="B4" t="s">
        <v>716</v>
      </c>
      <c r="C4" s="6">
        <v>46071</v>
      </c>
      <c r="D4" t="s">
        <v>1419</v>
      </c>
      <c r="E4" t="s">
        <v>1185</v>
      </c>
      <c r="F4" s="6">
        <v>46076</v>
      </c>
    </row>
    <row r="5" spans="1:6">
      <c r="A5" t="s">
        <v>1188</v>
      </c>
      <c r="B5" t="s">
        <v>677</v>
      </c>
      <c r="C5" s="6">
        <v>46191</v>
      </c>
      <c r="D5" t="s">
        <v>1420</v>
      </c>
      <c r="E5" t="s">
        <v>1185</v>
      </c>
      <c r="F5" s="6">
        <v>46198</v>
      </c>
    </row>
    <row r="6" spans="1:6">
      <c r="A6" t="s">
        <v>1190</v>
      </c>
      <c r="B6" t="s">
        <v>600</v>
      </c>
      <c r="C6" s="6">
        <v>46086</v>
      </c>
      <c r="D6" t="s">
        <v>1419</v>
      </c>
      <c r="E6" t="s">
        <v>1185</v>
      </c>
      <c r="F6" s="6">
        <v>46094</v>
      </c>
    </row>
    <row r="7" spans="1:6">
      <c r="A7" t="s">
        <v>1192</v>
      </c>
      <c r="B7" t="s">
        <v>139</v>
      </c>
      <c r="C7" s="6">
        <v>46079</v>
      </c>
      <c r="D7" t="s">
        <v>1419</v>
      </c>
      <c r="E7" t="s">
        <v>1185</v>
      </c>
      <c r="F7" s="6">
        <v>46088</v>
      </c>
    </row>
    <row r="8" spans="1:6">
      <c r="A8" t="s">
        <v>1194</v>
      </c>
      <c r="B8" t="s">
        <v>365</v>
      </c>
      <c r="C8" s="6">
        <v>46054</v>
      </c>
      <c r="D8" t="s">
        <v>1421</v>
      </c>
      <c r="E8" t="s">
        <v>1185</v>
      </c>
      <c r="F8" s="6">
        <v>46085</v>
      </c>
    </row>
    <row r="9" spans="1:6">
      <c r="A9" t="s">
        <v>1196</v>
      </c>
      <c r="B9" t="s">
        <v>625</v>
      </c>
      <c r="C9" s="6">
        <v>46052</v>
      </c>
      <c r="D9" t="s">
        <v>1419</v>
      </c>
      <c r="E9" t="s">
        <v>1197</v>
      </c>
      <c r="F9" s="6"/>
    </row>
    <row r="10" spans="1:6">
      <c r="A10" t="s">
        <v>1198</v>
      </c>
      <c r="B10" t="s">
        <v>520</v>
      </c>
      <c r="C10" s="6">
        <v>46066</v>
      </c>
      <c r="D10" t="s">
        <v>1419</v>
      </c>
      <c r="E10" t="s">
        <v>1185</v>
      </c>
      <c r="F10" s="6">
        <v>46074</v>
      </c>
    </row>
    <row r="11" spans="1:6">
      <c r="A11" t="s">
        <v>1200</v>
      </c>
      <c r="B11" t="s">
        <v>572</v>
      </c>
      <c r="C11" s="6">
        <v>46097</v>
      </c>
      <c r="D11" t="s">
        <v>1203</v>
      </c>
      <c r="E11" t="s">
        <v>1185</v>
      </c>
      <c r="F11" s="6">
        <v>46103</v>
      </c>
    </row>
    <row r="12" spans="1:6">
      <c r="A12" t="s">
        <v>1202</v>
      </c>
      <c r="B12" t="s">
        <v>213</v>
      </c>
      <c r="C12" s="6">
        <v>46046</v>
      </c>
      <c r="D12" t="s">
        <v>1203</v>
      </c>
      <c r="E12" t="s">
        <v>1197</v>
      </c>
      <c r="F12" s="6"/>
    </row>
    <row r="13" spans="1:6">
      <c r="A13" t="s">
        <v>1205</v>
      </c>
      <c r="B13" t="s">
        <v>404</v>
      </c>
      <c r="C13" s="6">
        <v>46058</v>
      </c>
      <c r="D13" t="s">
        <v>1422</v>
      </c>
      <c r="E13" t="s">
        <v>1185</v>
      </c>
      <c r="F13" s="6">
        <v>46067</v>
      </c>
    </row>
    <row r="14" spans="1:6">
      <c r="A14" t="s">
        <v>1207</v>
      </c>
      <c r="B14" t="s">
        <v>254</v>
      </c>
      <c r="C14" s="6">
        <v>46207</v>
      </c>
      <c r="D14" t="s">
        <v>1423</v>
      </c>
      <c r="E14" t="s">
        <v>1185</v>
      </c>
      <c r="F14" s="6">
        <v>46212</v>
      </c>
    </row>
    <row r="15" spans="1:6">
      <c r="A15" t="s">
        <v>1210</v>
      </c>
      <c r="B15" t="s">
        <v>407</v>
      </c>
      <c r="C15" s="6">
        <v>46133</v>
      </c>
      <c r="D15" t="s">
        <v>1421</v>
      </c>
      <c r="E15" t="s">
        <v>1185</v>
      </c>
      <c r="F15" s="6">
        <v>46141</v>
      </c>
    </row>
    <row r="16" spans="1:6">
      <c r="A16" t="s">
        <v>1212</v>
      </c>
      <c r="B16" t="s">
        <v>116</v>
      </c>
      <c r="C16" s="6">
        <v>46085</v>
      </c>
      <c r="D16" t="s">
        <v>1421</v>
      </c>
      <c r="E16" t="s">
        <v>1185</v>
      </c>
      <c r="F16" s="6">
        <v>46088</v>
      </c>
    </row>
    <row r="17" spans="1:6">
      <c r="A17" t="s">
        <v>1214</v>
      </c>
      <c r="B17" t="s">
        <v>682</v>
      </c>
      <c r="C17" s="6">
        <v>46184</v>
      </c>
      <c r="D17" t="s">
        <v>1203</v>
      </c>
      <c r="E17" t="s">
        <v>1185</v>
      </c>
      <c r="F17" s="6">
        <v>46188</v>
      </c>
    </row>
    <row r="18" spans="1:6">
      <c r="A18" t="s">
        <v>1215</v>
      </c>
      <c r="B18" t="s">
        <v>410</v>
      </c>
      <c r="C18" s="6">
        <v>46082</v>
      </c>
      <c r="D18" t="s">
        <v>1423</v>
      </c>
      <c r="E18" t="s">
        <v>1185</v>
      </c>
      <c r="F18" s="6">
        <v>46086</v>
      </c>
    </row>
    <row r="19" spans="1:6">
      <c r="A19" t="s">
        <v>1216</v>
      </c>
      <c r="B19" t="s">
        <v>672</v>
      </c>
      <c r="C19" s="6">
        <v>46161</v>
      </c>
      <c r="D19" t="s">
        <v>1419</v>
      </c>
      <c r="E19" t="s">
        <v>1185</v>
      </c>
      <c r="F19" s="6">
        <v>46170</v>
      </c>
    </row>
    <row r="20" spans="1:6">
      <c r="A20" t="s">
        <v>1217</v>
      </c>
      <c r="B20" t="s">
        <v>298</v>
      </c>
      <c r="C20" s="6">
        <v>46213</v>
      </c>
      <c r="D20" t="s">
        <v>1422</v>
      </c>
      <c r="E20" t="s">
        <v>1185</v>
      </c>
      <c r="F20" s="6">
        <v>46216</v>
      </c>
    </row>
    <row r="21" spans="1:6">
      <c r="A21" t="s">
        <v>1218</v>
      </c>
      <c r="B21" t="s">
        <v>664</v>
      </c>
      <c r="C21" s="6">
        <v>46051</v>
      </c>
      <c r="D21" t="s">
        <v>1419</v>
      </c>
      <c r="E21" t="s">
        <v>1185</v>
      </c>
      <c r="F21" s="6">
        <v>46060</v>
      </c>
    </row>
    <row r="22" spans="1:6">
      <c r="A22" t="s">
        <v>1219</v>
      </c>
      <c r="B22" t="s">
        <v>101</v>
      </c>
      <c r="C22" s="6">
        <v>46151</v>
      </c>
      <c r="D22" t="s">
        <v>1422</v>
      </c>
      <c r="E22" t="s">
        <v>1185</v>
      </c>
      <c r="F22" s="6">
        <v>46160</v>
      </c>
    </row>
    <row r="23" spans="1:6">
      <c r="A23" t="s">
        <v>1220</v>
      </c>
      <c r="B23" t="s">
        <v>384</v>
      </c>
      <c r="C23" s="6">
        <v>46186</v>
      </c>
      <c r="D23" t="s">
        <v>1203</v>
      </c>
      <c r="E23" t="s">
        <v>1185</v>
      </c>
      <c r="F23" s="6">
        <v>46195</v>
      </c>
    </row>
    <row r="24" spans="1:6">
      <c r="A24" t="s">
        <v>1221</v>
      </c>
      <c r="B24" t="s">
        <v>639</v>
      </c>
      <c r="C24" s="6">
        <v>46056</v>
      </c>
      <c r="D24" t="s">
        <v>1420</v>
      </c>
      <c r="E24" t="s">
        <v>1185</v>
      </c>
      <c r="F24" s="6">
        <v>46059</v>
      </c>
    </row>
    <row r="25" spans="1:6">
      <c r="A25" t="s">
        <v>1223</v>
      </c>
      <c r="B25" t="s">
        <v>601</v>
      </c>
      <c r="C25" s="6">
        <v>46160</v>
      </c>
      <c r="D25" t="s">
        <v>1419</v>
      </c>
      <c r="E25" t="s">
        <v>1185</v>
      </c>
      <c r="F25" s="6">
        <v>46164</v>
      </c>
    </row>
    <row r="26" spans="1:6">
      <c r="A26" t="s">
        <v>1225</v>
      </c>
      <c r="B26" t="s">
        <v>399</v>
      </c>
      <c r="C26" s="6">
        <v>46173</v>
      </c>
      <c r="D26" t="s">
        <v>1420</v>
      </c>
      <c r="E26" t="s">
        <v>1251</v>
      </c>
      <c r="F26" s="6"/>
    </row>
    <row r="27" spans="1:6">
      <c r="A27" t="s">
        <v>1227</v>
      </c>
      <c r="B27" t="s">
        <v>746</v>
      </c>
      <c r="C27" s="6">
        <v>46201</v>
      </c>
      <c r="D27" t="s">
        <v>1421</v>
      </c>
      <c r="E27" t="s">
        <v>1185</v>
      </c>
      <c r="F27" s="6">
        <v>46208</v>
      </c>
    </row>
    <row r="28" spans="1:6">
      <c r="A28" t="s">
        <v>1229</v>
      </c>
      <c r="B28" t="s">
        <v>658</v>
      </c>
      <c r="C28" s="6">
        <v>46104</v>
      </c>
      <c r="D28" t="s">
        <v>1422</v>
      </c>
      <c r="E28" t="s">
        <v>1185</v>
      </c>
      <c r="F28" s="6">
        <v>46108</v>
      </c>
    </row>
    <row r="29" spans="1:6">
      <c r="A29" t="s">
        <v>1230</v>
      </c>
      <c r="B29" t="s">
        <v>230</v>
      </c>
      <c r="C29" s="6">
        <v>46200</v>
      </c>
      <c r="D29" t="s">
        <v>1420</v>
      </c>
      <c r="E29" t="s">
        <v>1185</v>
      </c>
      <c r="F29" s="6">
        <v>46203</v>
      </c>
    </row>
    <row r="30" spans="1:6">
      <c r="A30" t="s">
        <v>1231</v>
      </c>
      <c r="B30" t="s">
        <v>689</v>
      </c>
      <c r="C30" s="6">
        <v>46163</v>
      </c>
      <c r="D30" t="s">
        <v>1422</v>
      </c>
      <c r="E30" t="s">
        <v>1185</v>
      </c>
      <c r="F30" s="6">
        <v>46172</v>
      </c>
    </row>
    <row r="31" spans="1:6">
      <c r="A31" t="s">
        <v>1232</v>
      </c>
      <c r="B31" t="s">
        <v>297</v>
      </c>
      <c r="C31" s="6">
        <v>46123</v>
      </c>
      <c r="D31" t="s">
        <v>1423</v>
      </c>
      <c r="E31" t="s">
        <v>1197</v>
      </c>
      <c r="F31" s="6"/>
    </row>
    <row r="32" spans="1:6">
      <c r="A32" t="s">
        <v>1234</v>
      </c>
      <c r="B32" t="s">
        <v>506</v>
      </c>
      <c r="C32" s="6">
        <v>46096</v>
      </c>
      <c r="D32" t="s">
        <v>1419</v>
      </c>
      <c r="E32" t="s">
        <v>1197</v>
      </c>
      <c r="F32" s="6"/>
    </row>
    <row r="33" spans="1:6">
      <c r="A33" t="s">
        <v>1235</v>
      </c>
      <c r="B33" t="s">
        <v>573</v>
      </c>
      <c r="C33" s="6">
        <v>46060</v>
      </c>
      <c r="D33" t="s">
        <v>1420</v>
      </c>
      <c r="E33" t="s">
        <v>1185</v>
      </c>
      <c r="F33" s="6">
        <v>46063</v>
      </c>
    </row>
    <row r="34" spans="1:6">
      <c r="A34" t="s">
        <v>1237</v>
      </c>
      <c r="B34" t="s">
        <v>525</v>
      </c>
      <c r="C34" s="6">
        <v>46199</v>
      </c>
      <c r="D34" t="s">
        <v>1203</v>
      </c>
      <c r="E34" t="s">
        <v>1185</v>
      </c>
      <c r="F34" s="6">
        <v>46204</v>
      </c>
    </row>
    <row r="35" spans="1:6">
      <c r="A35" t="s">
        <v>1238</v>
      </c>
      <c r="B35" t="s">
        <v>675</v>
      </c>
      <c r="C35" s="6">
        <v>46147</v>
      </c>
      <c r="D35" t="s">
        <v>1421</v>
      </c>
      <c r="E35" t="s">
        <v>1185</v>
      </c>
      <c r="F35" s="6">
        <v>46155</v>
      </c>
    </row>
    <row r="36" spans="1:6">
      <c r="A36" t="s">
        <v>1239</v>
      </c>
      <c r="B36" t="s">
        <v>659</v>
      </c>
      <c r="C36" s="6">
        <v>46177</v>
      </c>
      <c r="D36" t="s">
        <v>1421</v>
      </c>
      <c r="E36" t="s">
        <v>1185</v>
      </c>
      <c r="F36" s="6">
        <v>46182</v>
      </c>
    </row>
    <row r="37" spans="1:6">
      <c r="A37" t="s">
        <v>1240</v>
      </c>
      <c r="B37" t="s">
        <v>621</v>
      </c>
      <c r="C37" s="6">
        <v>46110</v>
      </c>
      <c r="D37" t="s">
        <v>1419</v>
      </c>
      <c r="E37" t="s">
        <v>1197</v>
      </c>
      <c r="F37" s="6"/>
    </row>
    <row r="38" spans="1:6">
      <c r="A38" t="s">
        <v>1241</v>
      </c>
      <c r="B38" t="s">
        <v>685</v>
      </c>
      <c r="C38" s="6">
        <v>46116</v>
      </c>
      <c r="D38" t="s">
        <v>1203</v>
      </c>
      <c r="E38" t="s">
        <v>1185</v>
      </c>
      <c r="F38" s="6">
        <v>46121</v>
      </c>
    </row>
    <row r="39" spans="1:6">
      <c r="A39" t="s">
        <v>1242</v>
      </c>
      <c r="B39" t="s">
        <v>598</v>
      </c>
      <c r="C39" s="6">
        <v>46018</v>
      </c>
      <c r="D39" t="s">
        <v>1421</v>
      </c>
      <c r="E39" t="s">
        <v>1185</v>
      </c>
      <c r="F39" s="6">
        <v>46033</v>
      </c>
    </row>
    <row r="40" spans="1:6">
      <c r="A40" t="s">
        <v>1243</v>
      </c>
      <c r="B40" t="s">
        <v>18</v>
      </c>
      <c r="C40" s="6">
        <v>46146</v>
      </c>
      <c r="D40" t="s">
        <v>1420</v>
      </c>
      <c r="E40" t="s">
        <v>1185</v>
      </c>
      <c r="F40" s="6">
        <v>46153</v>
      </c>
    </row>
    <row r="41" spans="1:6">
      <c r="A41" t="s">
        <v>1244</v>
      </c>
      <c r="B41" t="s">
        <v>556</v>
      </c>
      <c r="C41" s="6">
        <v>46146</v>
      </c>
      <c r="D41" t="s">
        <v>1421</v>
      </c>
      <c r="E41" t="s">
        <v>1185</v>
      </c>
      <c r="F41" s="6">
        <v>46151</v>
      </c>
    </row>
    <row r="42" spans="1:6">
      <c r="A42" t="s">
        <v>1245</v>
      </c>
      <c r="B42" t="s">
        <v>721</v>
      </c>
      <c r="C42" s="6">
        <v>46059</v>
      </c>
      <c r="D42" t="s">
        <v>1420</v>
      </c>
      <c r="E42" t="s">
        <v>1185</v>
      </c>
      <c r="F42" s="6">
        <v>46066</v>
      </c>
    </row>
    <row r="43" spans="1:6">
      <c r="A43" t="s">
        <v>1246</v>
      </c>
      <c r="B43" t="s">
        <v>290</v>
      </c>
      <c r="C43" s="6">
        <v>46105</v>
      </c>
      <c r="D43" t="s">
        <v>1423</v>
      </c>
      <c r="E43" t="s">
        <v>1185</v>
      </c>
      <c r="F43" s="6">
        <v>46111</v>
      </c>
    </row>
    <row r="44" spans="1:6">
      <c r="A44" t="s">
        <v>1248</v>
      </c>
      <c r="B44" t="s">
        <v>339</v>
      </c>
      <c r="C44" s="6">
        <v>46072</v>
      </c>
      <c r="D44" t="s">
        <v>1423</v>
      </c>
      <c r="E44" t="s">
        <v>1185</v>
      </c>
      <c r="F44" s="6">
        <v>46076</v>
      </c>
    </row>
    <row r="45" spans="1:6">
      <c r="A45" t="s">
        <v>1249</v>
      </c>
      <c r="B45" t="s">
        <v>570</v>
      </c>
      <c r="C45" s="6">
        <v>46124</v>
      </c>
      <c r="D45" t="s">
        <v>1422</v>
      </c>
      <c r="E45" t="s">
        <v>1185</v>
      </c>
      <c r="F45" s="6">
        <v>46128</v>
      </c>
    </row>
    <row r="46" spans="1:6">
      <c r="A46" t="s">
        <v>1250</v>
      </c>
      <c r="B46" t="s">
        <v>90</v>
      </c>
      <c r="C46" s="6">
        <v>46211</v>
      </c>
      <c r="D46" t="s">
        <v>1419</v>
      </c>
      <c r="E46" t="s">
        <v>1251</v>
      </c>
      <c r="F46" s="6"/>
    </row>
    <row r="47" spans="1:6">
      <c r="A47" t="s">
        <v>1252</v>
      </c>
      <c r="B47" t="s">
        <v>770</v>
      </c>
      <c r="C47" s="6">
        <v>46190</v>
      </c>
      <c r="D47" t="s">
        <v>1420</v>
      </c>
      <c r="E47" t="s">
        <v>1185</v>
      </c>
      <c r="F47" s="6">
        <v>46197</v>
      </c>
    </row>
    <row r="48" spans="1:6">
      <c r="A48" t="s">
        <v>1254</v>
      </c>
      <c r="B48" t="s">
        <v>579</v>
      </c>
      <c r="C48" s="6">
        <v>46216</v>
      </c>
      <c r="D48" t="s">
        <v>1423</v>
      </c>
      <c r="E48" t="s">
        <v>1185</v>
      </c>
      <c r="F48" s="6">
        <v>46221</v>
      </c>
    </row>
    <row r="49" spans="1:6">
      <c r="A49" t="s">
        <v>1256</v>
      </c>
      <c r="B49" t="s">
        <v>287</v>
      </c>
      <c r="C49" s="6">
        <v>46197</v>
      </c>
      <c r="D49" t="s">
        <v>1420</v>
      </c>
      <c r="E49" t="s">
        <v>1185</v>
      </c>
      <c r="F49" s="6">
        <v>46206</v>
      </c>
    </row>
    <row r="50" spans="1:6">
      <c r="A50" t="s">
        <v>1257</v>
      </c>
      <c r="B50" t="s">
        <v>246</v>
      </c>
      <c r="C50" s="6">
        <v>46206</v>
      </c>
      <c r="D50" t="s">
        <v>1420</v>
      </c>
      <c r="E50" t="s">
        <v>1185</v>
      </c>
      <c r="F50" s="6">
        <v>46212</v>
      </c>
    </row>
    <row r="51" spans="1:6">
      <c r="A51" t="s">
        <v>1259</v>
      </c>
      <c r="B51" t="s">
        <v>657</v>
      </c>
      <c r="C51" s="6">
        <v>46193</v>
      </c>
      <c r="D51" t="s">
        <v>1203</v>
      </c>
      <c r="E51" t="s">
        <v>1185</v>
      </c>
      <c r="F51" s="6">
        <v>46199</v>
      </c>
    </row>
    <row r="52" spans="1:6">
      <c r="A52" t="s">
        <v>1260</v>
      </c>
      <c r="B52" t="s">
        <v>129</v>
      </c>
      <c r="C52" s="6">
        <v>46133</v>
      </c>
      <c r="D52" t="s">
        <v>1423</v>
      </c>
      <c r="E52" t="s">
        <v>1185</v>
      </c>
      <c r="F52" s="6">
        <v>46138</v>
      </c>
    </row>
    <row r="53" spans="1:6">
      <c r="A53" t="s">
        <v>1261</v>
      </c>
      <c r="B53" t="s">
        <v>515</v>
      </c>
      <c r="C53" s="6">
        <v>46090</v>
      </c>
      <c r="D53" t="s">
        <v>1420</v>
      </c>
      <c r="E53" t="s">
        <v>1185</v>
      </c>
      <c r="F53" s="6">
        <v>46093</v>
      </c>
    </row>
    <row r="54" spans="1:6">
      <c r="A54" t="s">
        <v>1262</v>
      </c>
      <c r="B54" t="s">
        <v>381</v>
      </c>
      <c r="C54" s="6">
        <v>46147</v>
      </c>
      <c r="D54" t="s">
        <v>1423</v>
      </c>
      <c r="E54" t="s">
        <v>1185</v>
      </c>
      <c r="F54" s="6">
        <v>46155</v>
      </c>
    </row>
    <row r="55" spans="1:6">
      <c r="A55" t="s">
        <v>1263</v>
      </c>
      <c r="B55" t="s">
        <v>175</v>
      </c>
      <c r="C55" s="6">
        <v>46116</v>
      </c>
      <c r="D55" t="s">
        <v>1203</v>
      </c>
      <c r="E55" t="s">
        <v>1197</v>
      </c>
      <c r="F55" s="6"/>
    </row>
    <row r="56" spans="1:6">
      <c r="A56" t="s">
        <v>1264</v>
      </c>
      <c r="B56" t="s">
        <v>441</v>
      </c>
      <c r="C56" s="6">
        <v>46077</v>
      </c>
      <c r="D56" t="s">
        <v>1203</v>
      </c>
      <c r="E56" t="s">
        <v>1185</v>
      </c>
      <c r="F56" s="6">
        <v>46080</v>
      </c>
    </row>
    <row r="57" spans="1:6">
      <c r="A57" t="s">
        <v>1265</v>
      </c>
      <c r="B57" t="s">
        <v>745</v>
      </c>
      <c r="C57" s="6">
        <v>46178</v>
      </c>
      <c r="D57" t="s">
        <v>1421</v>
      </c>
      <c r="E57" t="s">
        <v>1185</v>
      </c>
      <c r="F57" s="6">
        <v>46199</v>
      </c>
    </row>
    <row r="58" spans="1:6">
      <c r="A58" t="s">
        <v>1266</v>
      </c>
      <c r="B58" t="s">
        <v>576</v>
      </c>
      <c r="C58" s="6">
        <v>46072</v>
      </c>
      <c r="D58" t="s">
        <v>1420</v>
      </c>
      <c r="E58" t="s">
        <v>1185</v>
      </c>
      <c r="F58" s="6">
        <v>46076</v>
      </c>
    </row>
    <row r="59" spans="1:6">
      <c r="A59" t="s">
        <v>1268</v>
      </c>
      <c r="B59" t="s">
        <v>630</v>
      </c>
      <c r="C59" s="6">
        <v>46191</v>
      </c>
      <c r="D59" t="s">
        <v>1421</v>
      </c>
      <c r="E59" t="s">
        <v>1185</v>
      </c>
      <c r="F59" s="6">
        <v>46195</v>
      </c>
    </row>
    <row r="60" spans="1:6">
      <c r="A60" t="s">
        <v>1269</v>
      </c>
      <c r="B60" t="s">
        <v>206</v>
      </c>
      <c r="C60" s="6">
        <v>46190</v>
      </c>
      <c r="D60" t="s">
        <v>1203</v>
      </c>
      <c r="E60" t="s">
        <v>1185</v>
      </c>
      <c r="F60" s="6">
        <v>46199</v>
      </c>
    </row>
    <row r="61" spans="1:6">
      <c r="A61" t="s">
        <v>1271</v>
      </c>
      <c r="B61" t="s">
        <v>715</v>
      </c>
      <c r="C61" s="6">
        <v>46167</v>
      </c>
      <c r="D61" t="s">
        <v>1419</v>
      </c>
      <c r="E61" t="s">
        <v>1185</v>
      </c>
      <c r="F61" s="6">
        <v>46175</v>
      </c>
    </row>
    <row r="62" spans="1:6">
      <c r="A62" t="s">
        <v>1273</v>
      </c>
      <c r="B62" t="s">
        <v>70</v>
      </c>
      <c r="C62" s="6">
        <v>46053</v>
      </c>
      <c r="D62" t="s">
        <v>1421</v>
      </c>
      <c r="E62" t="s">
        <v>1197</v>
      </c>
      <c r="F62" s="6"/>
    </row>
    <row r="63" spans="1:6">
      <c r="A63" t="s">
        <v>1275</v>
      </c>
      <c r="B63" t="s">
        <v>79</v>
      </c>
      <c r="C63" s="6">
        <v>46201</v>
      </c>
      <c r="D63" t="s">
        <v>1421</v>
      </c>
      <c r="E63" t="s">
        <v>1185</v>
      </c>
      <c r="F63" s="6">
        <v>46208</v>
      </c>
    </row>
    <row r="64" spans="1:6">
      <c r="A64" t="s">
        <v>1276</v>
      </c>
      <c r="B64" t="s">
        <v>191</v>
      </c>
      <c r="C64" s="6">
        <v>46130</v>
      </c>
      <c r="D64" t="s">
        <v>1421</v>
      </c>
      <c r="E64" t="s">
        <v>1251</v>
      </c>
      <c r="F64" s="6"/>
    </row>
    <row r="65" spans="1:6">
      <c r="A65" t="s">
        <v>1277</v>
      </c>
      <c r="B65" t="s">
        <v>135</v>
      </c>
      <c r="C65" s="6">
        <v>46073</v>
      </c>
      <c r="D65" t="s">
        <v>1419</v>
      </c>
      <c r="E65" t="s">
        <v>1197</v>
      </c>
      <c r="F65" s="6"/>
    </row>
    <row r="66" spans="1:6">
      <c r="A66" t="s">
        <v>1278</v>
      </c>
      <c r="B66" t="s">
        <v>192</v>
      </c>
      <c r="C66" s="6">
        <v>46129</v>
      </c>
      <c r="D66" t="s">
        <v>1422</v>
      </c>
      <c r="E66" t="s">
        <v>1197</v>
      </c>
      <c r="F66" s="6"/>
    </row>
    <row r="67" spans="1:6">
      <c r="A67" t="s">
        <v>1279</v>
      </c>
      <c r="B67" t="s">
        <v>608</v>
      </c>
      <c r="C67" s="6">
        <v>46183</v>
      </c>
      <c r="D67" t="s">
        <v>1421</v>
      </c>
      <c r="E67" t="s">
        <v>1185</v>
      </c>
      <c r="F67" s="6">
        <v>46189</v>
      </c>
    </row>
    <row r="68" spans="1:6">
      <c r="A68" t="s">
        <v>1280</v>
      </c>
      <c r="B68" t="s">
        <v>348</v>
      </c>
      <c r="C68" s="6">
        <v>46168</v>
      </c>
      <c r="D68" t="s">
        <v>1419</v>
      </c>
      <c r="E68" t="s">
        <v>1185</v>
      </c>
      <c r="F68" s="6">
        <v>46174</v>
      </c>
    </row>
    <row r="69" spans="1:6">
      <c r="A69" t="s">
        <v>1281</v>
      </c>
      <c r="B69" t="s">
        <v>448</v>
      </c>
      <c r="C69" s="6">
        <v>46066</v>
      </c>
      <c r="D69" t="s">
        <v>1421</v>
      </c>
      <c r="E69" t="s">
        <v>1185</v>
      </c>
      <c r="F69" s="6">
        <v>46071</v>
      </c>
    </row>
    <row r="70" spans="1:6">
      <c r="A70" t="s">
        <v>1283</v>
      </c>
      <c r="B70" t="s">
        <v>379</v>
      </c>
      <c r="C70" s="6">
        <v>46172</v>
      </c>
      <c r="D70" t="s">
        <v>1422</v>
      </c>
      <c r="E70" t="s">
        <v>1251</v>
      </c>
      <c r="F70" s="6"/>
    </row>
    <row r="71" spans="1:6">
      <c r="A71" t="s">
        <v>1284</v>
      </c>
      <c r="B71" t="s">
        <v>711</v>
      </c>
      <c r="C71" s="6">
        <v>46071</v>
      </c>
      <c r="D71" t="s">
        <v>1423</v>
      </c>
      <c r="E71" t="s">
        <v>1185</v>
      </c>
      <c r="F71" s="6">
        <v>46076</v>
      </c>
    </row>
    <row r="72" spans="1:6">
      <c r="A72" t="s">
        <v>1285</v>
      </c>
      <c r="B72" t="s">
        <v>361</v>
      </c>
      <c r="C72" s="6">
        <v>46225</v>
      </c>
      <c r="D72" t="s">
        <v>1421</v>
      </c>
      <c r="E72" t="s">
        <v>1197</v>
      </c>
      <c r="F72" s="6"/>
    </row>
    <row r="73" spans="1:6">
      <c r="A73" t="s">
        <v>1286</v>
      </c>
      <c r="B73" t="s">
        <v>314</v>
      </c>
      <c r="C73" s="6">
        <v>46171</v>
      </c>
      <c r="D73" t="s">
        <v>1420</v>
      </c>
      <c r="E73" t="s">
        <v>1251</v>
      </c>
      <c r="F73" s="6"/>
    </row>
    <row r="74" spans="1:6">
      <c r="A74" t="s">
        <v>1287</v>
      </c>
      <c r="B74" t="s">
        <v>388</v>
      </c>
      <c r="C74" s="6">
        <v>46191</v>
      </c>
      <c r="D74" t="s">
        <v>1422</v>
      </c>
      <c r="E74" t="s">
        <v>1185</v>
      </c>
      <c r="F74" s="6">
        <v>46195</v>
      </c>
    </row>
    <row r="75" spans="1:6">
      <c r="A75" t="s">
        <v>1288</v>
      </c>
      <c r="B75" t="s">
        <v>651</v>
      </c>
      <c r="C75" s="6">
        <v>46064</v>
      </c>
      <c r="D75" t="s">
        <v>1422</v>
      </c>
      <c r="E75" t="s">
        <v>1185</v>
      </c>
      <c r="F75" s="6">
        <v>46069</v>
      </c>
    </row>
    <row r="76" spans="1:6">
      <c r="A76" t="s">
        <v>1290</v>
      </c>
      <c r="B76" t="s">
        <v>732</v>
      </c>
      <c r="C76" s="6">
        <v>46057</v>
      </c>
      <c r="D76" t="s">
        <v>1203</v>
      </c>
      <c r="E76" t="s">
        <v>1185</v>
      </c>
      <c r="F76" s="6">
        <v>46061</v>
      </c>
    </row>
    <row r="77" spans="1:6">
      <c r="A77" t="s">
        <v>1291</v>
      </c>
      <c r="B77" t="s">
        <v>360</v>
      </c>
      <c r="C77" s="6">
        <v>46193</v>
      </c>
      <c r="D77" t="s">
        <v>1420</v>
      </c>
      <c r="E77" t="s">
        <v>1197</v>
      </c>
      <c r="F77" s="6"/>
    </row>
    <row r="78" spans="1:6">
      <c r="A78" t="s">
        <v>1292</v>
      </c>
      <c r="B78" t="s">
        <v>755</v>
      </c>
      <c r="C78" s="6">
        <v>46206</v>
      </c>
      <c r="D78" t="s">
        <v>1423</v>
      </c>
      <c r="E78" t="s">
        <v>1185</v>
      </c>
      <c r="F78" s="6">
        <v>46215</v>
      </c>
    </row>
    <row r="79" spans="1:6">
      <c r="A79" t="s">
        <v>1293</v>
      </c>
      <c r="B79" t="s">
        <v>416</v>
      </c>
      <c r="C79" s="6">
        <v>46209</v>
      </c>
      <c r="D79" t="s">
        <v>1421</v>
      </c>
      <c r="E79" t="s">
        <v>1185</v>
      </c>
      <c r="F79" s="6">
        <v>46218</v>
      </c>
    </row>
    <row r="80" spans="1:6">
      <c r="A80" t="s">
        <v>1294</v>
      </c>
      <c r="B80" t="s">
        <v>32</v>
      </c>
      <c r="C80" s="6">
        <v>46103</v>
      </c>
      <c r="D80" t="s">
        <v>1422</v>
      </c>
      <c r="E80" t="s">
        <v>1251</v>
      </c>
      <c r="F80" s="6"/>
    </row>
    <row r="81" spans="1:6">
      <c r="A81" t="s">
        <v>1297</v>
      </c>
      <c r="B81" t="s">
        <v>112</v>
      </c>
      <c r="C81" s="6">
        <v>46172</v>
      </c>
      <c r="D81" t="s">
        <v>1423</v>
      </c>
      <c r="E81" t="s">
        <v>1185</v>
      </c>
      <c r="F81" s="6">
        <v>46181</v>
      </c>
    </row>
    <row r="82" spans="1:6">
      <c r="A82" t="s">
        <v>1298</v>
      </c>
      <c r="B82" t="s">
        <v>622</v>
      </c>
      <c r="C82" s="6">
        <v>46098</v>
      </c>
      <c r="D82" t="s">
        <v>1421</v>
      </c>
      <c r="E82" t="s">
        <v>1185</v>
      </c>
      <c r="F82" s="6">
        <v>46107</v>
      </c>
    </row>
    <row r="83" spans="1:6">
      <c r="A83" t="s">
        <v>1299</v>
      </c>
      <c r="B83" t="s">
        <v>27</v>
      </c>
      <c r="C83" s="6">
        <v>46076</v>
      </c>
      <c r="D83" t="s">
        <v>1423</v>
      </c>
      <c r="E83" t="s">
        <v>1185</v>
      </c>
      <c r="F83" s="6">
        <v>46082</v>
      </c>
    </row>
    <row r="84" spans="1:6">
      <c r="A84" t="s">
        <v>1300</v>
      </c>
      <c r="B84" t="s">
        <v>200</v>
      </c>
      <c r="C84" s="6">
        <v>46102</v>
      </c>
      <c r="D84" t="s">
        <v>1420</v>
      </c>
      <c r="E84" t="s">
        <v>1185</v>
      </c>
      <c r="F84" s="6">
        <v>46109</v>
      </c>
    </row>
    <row r="85" spans="1:6">
      <c r="A85" t="s">
        <v>1301</v>
      </c>
      <c r="B85" t="s">
        <v>751</v>
      </c>
      <c r="C85" s="6">
        <v>46156</v>
      </c>
      <c r="D85" t="s">
        <v>1203</v>
      </c>
      <c r="E85" t="s">
        <v>1185</v>
      </c>
      <c r="F85" s="6">
        <v>46159</v>
      </c>
    </row>
    <row r="86" spans="1:6">
      <c r="A86" t="s">
        <v>1302</v>
      </c>
      <c r="B86" t="s">
        <v>724</v>
      </c>
      <c r="C86" s="6">
        <v>46129</v>
      </c>
      <c r="D86" t="s">
        <v>1421</v>
      </c>
      <c r="E86" t="s">
        <v>1251</v>
      </c>
      <c r="F86" s="6"/>
    </row>
    <row r="87" spans="1:6">
      <c r="A87" t="s">
        <v>1303</v>
      </c>
      <c r="B87" t="s">
        <v>1304</v>
      </c>
      <c r="C87" s="6">
        <v>46122</v>
      </c>
      <c r="D87" t="s">
        <v>1420</v>
      </c>
      <c r="E87" t="s">
        <v>1185</v>
      </c>
      <c r="F87" s="6">
        <v>46127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5F8E-4358-4B84-9A2C-48584F8E99F0}">
  <dimension ref="A1:H80"/>
  <sheetViews>
    <sheetView workbookViewId="0">
      <selection activeCell="I14" sqref="I14"/>
    </sheetView>
  </sheetViews>
  <sheetFormatPr defaultRowHeight="15"/>
  <cols>
    <col min="1" max="1" width="12.5703125" bestFit="1" customWidth="1"/>
    <col min="2" max="2" width="12.140625" bestFit="1" customWidth="1"/>
    <col min="3" max="3" width="11.28515625" bestFit="1" customWidth="1"/>
    <col min="4" max="4" width="14.85546875" bestFit="1" customWidth="1"/>
    <col min="5" max="6" width="18" bestFit="1" customWidth="1"/>
    <col min="7" max="7" width="15.140625" bestFit="1" customWidth="1"/>
    <col min="8" max="8" width="23.42578125" bestFit="1" customWidth="1"/>
  </cols>
  <sheetData>
    <row r="1" spans="1:8">
      <c r="A1" t="s">
        <v>1305</v>
      </c>
      <c r="B1" t="s">
        <v>1178</v>
      </c>
      <c r="C1" t="s">
        <v>0</v>
      </c>
      <c r="D1" t="s">
        <v>1306</v>
      </c>
      <c r="E1" t="s">
        <v>1307</v>
      </c>
      <c r="F1" t="s">
        <v>1308</v>
      </c>
      <c r="G1" t="s">
        <v>1309</v>
      </c>
      <c r="H1" t="s">
        <v>1407</v>
      </c>
    </row>
    <row r="2" spans="1:8">
      <c r="A2" t="s">
        <v>1310</v>
      </c>
      <c r="B2" t="s">
        <v>1183</v>
      </c>
      <c r="C2" t="s">
        <v>44</v>
      </c>
      <c r="D2" s="6">
        <v>46167</v>
      </c>
      <c r="E2">
        <v>499</v>
      </c>
      <c r="F2" t="s">
        <v>1311</v>
      </c>
      <c r="G2" t="s">
        <v>1312</v>
      </c>
      <c r="H2" t="s">
        <v>1409</v>
      </c>
    </row>
    <row r="3" spans="1:8">
      <c r="A3" t="s">
        <v>1313</v>
      </c>
      <c r="B3" t="s">
        <v>1186</v>
      </c>
      <c r="C3" t="s">
        <v>343</v>
      </c>
      <c r="D3" s="6">
        <v>46123</v>
      </c>
      <c r="E3">
        <v>599</v>
      </c>
      <c r="F3" t="s">
        <v>1314</v>
      </c>
      <c r="G3" t="s">
        <v>1323</v>
      </c>
      <c r="H3" t="s">
        <v>1409</v>
      </c>
    </row>
    <row r="4" spans="1:8">
      <c r="A4" t="s">
        <v>1316</v>
      </c>
      <c r="B4" t="s">
        <v>1187</v>
      </c>
      <c r="C4" t="s">
        <v>716</v>
      </c>
      <c r="D4" s="6">
        <v>46080</v>
      </c>
      <c r="E4">
        <v>2799</v>
      </c>
      <c r="F4" t="s">
        <v>1317</v>
      </c>
      <c r="G4" t="s">
        <v>1318</v>
      </c>
      <c r="H4" t="s">
        <v>1409</v>
      </c>
    </row>
    <row r="5" spans="1:8">
      <c r="A5" t="s">
        <v>1319</v>
      </c>
      <c r="B5" t="s">
        <v>1188</v>
      </c>
      <c r="C5" t="s">
        <v>677</v>
      </c>
      <c r="D5" s="6">
        <v>46201</v>
      </c>
      <c r="E5">
        <v>1499</v>
      </c>
      <c r="F5" t="s">
        <v>1317</v>
      </c>
      <c r="G5" t="s">
        <v>1320</v>
      </c>
      <c r="H5" t="s">
        <v>1409</v>
      </c>
    </row>
    <row r="6" spans="1:8">
      <c r="A6" t="s">
        <v>1321</v>
      </c>
      <c r="B6" t="s">
        <v>1190</v>
      </c>
      <c r="C6" t="s">
        <v>600</v>
      </c>
      <c r="D6" s="6">
        <v>46099</v>
      </c>
      <c r="E6">
        <v>999</v>
      </c>
      <c r="F6" t="s">
        <v>1311</v>
      </c>
      <c r="G6" t="s">
        <v>1312</v>
      </c>
      <c r="H6" t="s">
        <v>1409</v>
      </c>
    </row>
    <row r="7" spans="1:8">
      <c r="A7" t="s">
        <v>1322</v>
      </c>
      <c r="B7" t="s">
        <v>1192</v>
      </c>
      <c r="C7" t="s">
        <v>139</v>
      </c>
      <c r="D7" s="6">
        <v>46093</v>
      </c>
      <c r="E7">
        <v>999</v>
      </c>
      <c r="F7" t="s">
        <v>1314</v>
      </c>
      <c r="G7" t="s">
        <v>1323</v>
      </c>
      <c r="H7" t="s">
        <v>1409</v>
      </c>
    </row>
    <row r="8" spans="1:8">
      <c r="A8" t="s">
        <v>1324</v>
      </c>
      <c r="B8" t="s">
        <v>1194</v>
      </c>
      <c r="C8" t="s">
        <v>365</v>
      </c>
      <c r="D8" s="6">
        <v>46086</v>
      </c>
      <c r="E8">
        <v>1199</v>
      </c>
      <c r="F8" t="s">
        <v>1314</v>
      </c>
      <c r="G8" t="s">
        <v>1320</v>
      </c>
      <c r="H8" t="s">
        <v>1409</v>
      </c>
    </row>
    <row r="9" spans="1:8">
      <c r="A9" t="s">
        <v>1326</v>
      </c>
      <c r="B9" t="s">
        <v>1198</v>
      </c>
      <c r="C9" t="s">
        <v>520</v>
      </c>
      <c r="D9" s="6">
        <v>46076</v>
      </c>
      <c r="E9">
        <v>7998</v>
      </c>
      <c r="F9" t="s">
        <v>1317</v>
      </c>
      <c r="G9" t="s">
        <v>1320</v>
      </c>
      <c r="H9" t="s">
        <v>1409</v>
      </c>
    </row>
    <row r="10" spans="1:8">
      <c r="A10" t="s">
        <v>1327</v>
      </c>
      <c r="B10" t="s">
        <v>1200</v>
      </c>
      <c r="C10" t="s">
        <v>572</v>
      </c>
      <c r="D10" s="6">
        <v>46108</v>
      </c>
      <c r="E10">
        <v>2698</v>
      </c>
      <c r="F10" t="s">
        <v>1317</v>
      </c>
      <c r="G10" t="s">
        <v>1320</v>
      </c>
      <c r="H10" t="s">
        <v>1409</v>
      </c>
    </row>
    <row r="11" spans="1:8">
      <c r="A11" t="s">
        <v>1328</v>
      </c>
      <c r="B11" t="s">
        <v>1205</v>
      </c>
      <c r="C11" t="s">
        <v>404</v>
      </c>
      <c r="D11" s="6">
        <v>46072</v>
      </c>
      <c r="E11">
        <v>2199</v>
      </c>
      <c r="F11" t="s">
        <v>1317</v>
      </c>
      <c r="G11" t="s">
        <v>1318</v>
      </c>
      <c r="H11" t="s">
        <v>1409</v>
      </c>
    </row>
    <row r="12" spans="1:8">
      <c r="A12" t="s">
        <v>1329</v>
      </c>
      <c r="B12" t="s">
        <v>1207</v>
      </c>
      <c r="C12" t="s">
        <v>254</v>
      </c>
      <c r="D12" s="6">
        <v>46214</v>
      </c>
      <c r="E12">
        <v>6397</v>
      </c>
      <c r="F12" t="s">
        <v>1317</v>
      </c>
      <c r="G12" t="s">
        <v>1323</v>
      </c>
      <c r="H12" t="s">
        <v>1409</v>
      </c>
    </row>
    <row r="13" spans="1:8">
      <c r="A13" t="s">
        <v>1331</v>
      </c>
      <c r="B13" t="s">
        <v>1210</v>
      </c>
      <c r="C13" t="s">
        <v>407</v>
      </c>
      <c r="D13" s="6">
        <v>46145</v>
      </c>
      <c r="E13">
        <v>499</v>
      </c>
      <c r="F13" t="s">
        <v>1314</v>
      </c>
      <c r="G13" t="s">
        <v>1312</v>
      </c>
      <c r="H13" t="s">
        <v>1409</v>
      </c>
    </row>
    <row r="14" spans="1:8">
      <c r="A14" t="s">
        <v>1332</v>
      </c>
      <c r="B14" t="s">
        <v>1212</v>
      </c>
      <c r="C14" t="s">
        <v>116</v>
      </c>
      <c r="D14" s="6">
        <v>46089</v>
      </c>
      <c r="E14">
        <v>6897</v>
      </c>
      <c r="F14" t="s">
        <v>1311</v>
      </c>
      <c r="G14" t="s">
        <v>1320</v>
      </c>
      <c r="H14" t="s">
        <v>1409</v>
      </c>
    </row>
    <row r="15" spans="1:8">
      <c r="A15" t="s">
        <v>1333</v>
      </c>
      <c r="B15" t="s">
        <v>1214</v>
      </c>
      <c r="C15" t="s">
        <v>682</v>
      </c>
      <c r="D15" s="6">
        <v>46192</v>
      </c>
      <c r="E15">
        <v>1999</v>
      </c>
      <c r="F15" t="s">
        <v>1314</v>
      </c>
      <c r="G15" t="s">
        <v>1323</v>
      </c>
      <c r="H15" t="s">
        <v>1409</v>
      </c>
    </row>
    <row r="16" spans="1:8">
      <c r="A16" t="s">
        <v>1334</v>
      </c>
      <c r="B16" t="s">
        <v>1215</v>
      </c>
      <c r="C16" t="s">
        <v>410</v>
      </c>
      <c r="D16" s="6">
        <v>46088</v>
      </c>
      <c r="E16">
        <v>2199</v>
      </c>
      <c r="F16" t="s">
        <v>1314</v>
      </c>
      <c r="G16" t="s">
        <v>1323</v>
      </c>
      <c r="H16" t="s">
        <v>1409</v>
      </c>
    </row>
    <row r="17" spans="1:8">
      <c r="A17" t="s">
        <v>1335</v>
      </c>
      <c r="B17" t="s">
        <v>1216</v>
      </c>
      <c r="C17" t="s">
        <v>672</v>
      </c>
      <c r="D17" s="6">
        <v>46175</v>
      </c>
      <c r="E17">
        <v>1999</v>
      </c>
      <c r="F17" t="s">
        <v>1311</v>
      </c>
      <c r="G17" t="s">
        <v>1312</v>
      </c>
      <c r="H17" t="s">
        <v>1409</v>
      </c>
    </row>
    <row r="18" spans="1:8">
      <c r="A18" t="s">
        <v>1336</v>
      </c>
      <c r="B18" t="s">
        <v>1217</v>
      </c>
      <c r="C18" t="s">
        <v>298</v>
      </c>
      <c r="D18" s="6">
        <v>46219</v>
      </c>
      <c r="E18">
        <v>2499</v>
      </c>
      <c r="F18" t="s">
        <v>1317</v>
      </c>
      <c r="G18" t="s">
        <v>1323</v>
      </c>
      <c r="H18" t="s">
        <v>1409</v>
      </c>
    </row>
    <row r="19" spans="1:8">
      <c r="A19" t="s">
        <v>1337</v>
      </c>
      <c r="B19" t="s">
        <v>1218</v>
      </c>
      <c r="C19" t="s">
        <v>664</v>
      </c>
      <c r="D19" s="6">
        <v>46065</v>
      </c>
      <c r="E19">
        <v>499</v>
      </c>
      <c r="F19" t="s">
        <v>1314</v>
      </c>
      <c r="G19" t="s">
        <v>1318</v>
      </c>
      <c r="H19" t="s">
        <v>1409</v>
      </c>
    </row>
    <row r="20" spans="1:8">
      <c r="A20" t="s">
        <v>1338</v>
      </c>
      <c r="B20" t="s">
        <v>1219</v>
      </c>
      <c r="C20" t="s">
        <v>101</v>
      </c>
      <c r="D20" s="6">
        <v>46164</v>
      </c>
      <c r="E20">
        <v>1499</v>
      </c>
      <c r="F20" t="s">
        <v>1317</v>
      </c>
      <c r="G20" t="s">
        <v>1318</v>
      </c>
      <c r="H20" t="s">
        <v>1409</v>
      </c>
    </row>
    <row r="21" spans="1:8">
      <c r="A21" t="s">
        <v>1339</v>
      </c>
      <c r="B21" t="s">
        <v>1220</v>
      </c>
      <c r="C21" t="s">
        <v>384</v>
      </c>
      <c r="D21" s="6">
        <v>46197</v>
      </c>
      <c r="E21">
        <v>4497</v>
      </c>
      <c r="F21" t="s">
        <v>1311</v>
      </c>
      <c r="G21" t="s">
        <v>1323</v>
      </c>
      <c r="H21" t="s">
        <v>1409</v>
      </c>
    </row>
    <row r="22" spans="1:8">
      <c r="A22" t="s">
        <v>1340</v>
      </c>
      <c r="B22" t="s">
        <v>1221</v>
      </c>
      <c r="C22" t="s">
        <v>639</v>
      </c>
      <c r="D22" s="6">
        <v>46061</v>
      </c>
      <c r="E22">
        <v>2598</v>
      </c>
      <c r="F22" t="s">
        <v>1311</v>
      </c>
      <c r="G22" t="s">
        <v>1312</v>
      </c>
      <c r="H22" t="s">
        <v>1409</v>
      </c>
    </row>
    <row r="23" spans="1:8">
      <c r="A23" t="s">
        <v>1341</v>
      </c>
      <c r="B23" t="s">
        <v>1223</v>
      </c>
      <c r="C23" t="s">
        <v>601</v>
      </c>
      <c r="D23" s="6">
        <v>46165</v>
      </c>
      <c r="E23">
        <v>1999</v>
      </c>
      <c r="F23" t="s">
        <v>1311</v>
      </c>
      <c r="G23" t="s">
        <v>1312</v>
      </c>
      <c r="H23" t="s">
        <v>1409</v>
      </c>
    </row>
    <row r="24" spans="1:8">
      <c r="A24" t="s">
        <v>1342</v>
      </c>
      <c r="B24" t="s">
        <v>1227</v>
      </c>
      <c r="C24" t="s">
        <v>746</v>
      </c>
      <c r="D24" s="6">
        <v>46213</v>
      </c>
      <c r="E24">
        <v>2299</v>
      </c>
      <c r="F24" t="s">
        <v>1317</v>
      </c>
      <c r="G24" t="s">
        <v>1323</v>
      </c>
      <c r="H24" t="s">
        <v>1409</v>
      </c>
    </row>
    <row r="25" spans="1:8">
      <c r="A25" t="s">
        <v>1343</v>
      </c>
      <c r="B25" t="s">
        <v>1229</v>
      </c>
      <c r="C25" t="s">
        <v>658</v>
      </c>
      <c r="D25" s="6">
        <v>46109</v>
      </c>
      <c r="E25">
        <v>1999</v>
      </c>
      <c r="F25" t="s">
        <v>1314</v>
      </c>
      <c r="G25" t="s">
        <v>1312</v>
      </c>
      <c r="H25" t="s">
        <v>1409</v>
      </c>
    </row>
    <row r="26" spans="1:8">
      <c r="A26" t="s">
        <v>1344</v>
      </c>
      <c r="B26" t="s">
        <v>1230</v>
      </c>
      <c r="C26" t="s">
        <v>230</v>
      </c>
      <c r="D26" s="6">
        <v>46206</v>
      </c>
      <c r="E26">
        <v>1499</v>
      </c>
      <c r="F26" t="s">
        <v>1314</v>
      </c>
      <c r="G26" t="s">
        <v>1320</v>
      </c>
      <c r="H26" t="s">
        <v>1409</v>
      </c>
    </row>
    <row r="27" spans="1:8">
      <c r="A27" t="s">
        <v>1345</v>
      </c>
      <c r="B27" t="s">
        <v>1231</v>
      </c>
      <c r="C27" t="s">
        <v>689</v>
      </c>
      <c r="D27" s="6">
        <v>46173</v>
      </c>
      <c r="E27">
        <v>5598</v>
      </c>
      <c r="F27" t="s">
        <v>1314</v>
      </c>
      <c r="G27" t="s">
        <v>1417</v>
      </c>
      <c r="H27" t="s">
        <v>1409</v>
      </c>
    </row>
    <row r="28" spans="1:8">
      <c r="A28" t="s">
        <v>1346</v>
      </c>
      <c r="B28" t="s">
        <v>1235</v>
      </c>
      <c r="C28" t="s">
        <v>573</v>
      </c>
      <c r="D28" s="6">
        <v>46068</v>
      </c>
      <c r="E28">
        <v>11997</v>
      </c>
      <c r="F28" t="s">
        <v>1311</v>
      </c>
      <c r="G28" t="s">
        <v>1323</v>
      </c>
      <c r="H28" t="s">
        <v>1409</v>
      </c>
    </row>
    <row r="29" spans="1:8">
      <c r="A29" t="s">
        <v>1347</v>
      </c>
      <c r="B29" t="s">
        <v>1237</v>
      </c>
      <c r="C29" t="s">
        <v>525</v>
      </c>
      <c r="D29" s="6">
        <v>46209</v>
      </c>
      <c r="E29">
        <v>2299</v>
      </c>
      <c r="F29" t="s">
        <v>1314</v>
      </c>
      <c r="G29" t="s">
        <v>1318</v>
      </c>
      <c r="H29" t="s">
        <v>1409</v>
      </c>
    </row>
    <row r="30" spans="1:8">
      <c r="A30" t="s">
        <v>1349</v>
      </c>
      <c r="B30" t="s">
        <v>1238</v>
      </c>
      <c r="C30" t="s">
        <v>675</v>
      </c>
      <c r="D30" s="6">
        <v>46161</v>
      </c>
      <c r="E30">
        <v>1598</v>
      </c>
      <c r="F30" t="s">
        <v>1311</v>
      </c>
      <c r="G30" t="s">
        <v>1312</v>
      </c>
      <c r="H30" t="s">
        <v>1409</v>
      </c>
    </row>
    <row r="31" spans="1:8">
      <c r="A31" t="s">
        <v>1350</v>
      </c>
      <c r="B31" t="s">
        <v>1239</v>
      </c>
      <c r="C31" t="s">
        <v>659</v>
      </c>
      <c r="D31" s="6">
        <v>46186</v>
      </c>
      <c r="E31">
        <v>5397</v>
      </c>
      <c r="F31" t="s">
        <v>1311</v>
      </c>
      <c r="G31" t="s">
        <v>1312</v>
      </c>
      <c r="H31" t="s">
        <v>1425</v>
      </c>
    </row>
    <row r="32" spans="1:8">
      <c r="A32" t="s">
        <v>1351</v>
      </c>
      <c r="B32" t="s">
        <v>1241</v>
      </c>
      <c r="C32" t="s">
        <v>685</v>
      </c>
      <c r="D32" s="6">
        <v>46122</v>
      </c>
      <c r="E32">
        <v>2299</v>
      </c>
      <c r="F32" t="s">
        <v>1314</v>
      </c>
      <c r="G32" t="s">
        <v>1318</v>
      </c>
      <c r="H32" t="s">
        <v>1409</v>
      </c>
    </row>
    <row r="33" spans="1:8">
      <c r="A33" t="s">
        <v>1352</v>
      </c>
      <c r="B33" t="s">
        <v>1242</v>
      </c>
      <c r="C33" t="s">
        <v>598</v>
      </c>
      <c r="D33" s="6">
        <v>46039</v>
      </c>
      <c r="E33">
        <v>3198</v>
      </c>
      <c r="F33" t="s">
        <v>1311</v>
      </c>
      <c r="G33" t="s">
        <v>1323</v>
      </c>
      <c r="H33" t="s">
        <v>1409</v>
      </c>
    </row>
    <row r="34" spans="1:8">
      <c r="A34" t="s">
        <v>1353</v>
      </c>
      <c r="B34" t="s">
        <v>1243</v>
      </c>
      <c r="C34" t="s">
        <v>18</v>
      </c>
      <c r="D34" s="6">
        <v>46154</v>
      </c>
      <c r="E34">
        <v>3299</v>
      </c>
      <c r="F34" t="s">
        <v>1314</v>
      </c>
      <c r="G34" t="s">
        <v>1312</v>
      </c>
      <c r="H34" t="s">
        <v>1409</v>
      </c>
    </row>
    <row r="35" spans="1:8">
      <c r="A35" t="s">
        <v>1354</v>
      </c>
      <c r="B35" t="s">
        <v>1244</v>
      </c>
      <c r="C35" t="s">
        <v>556</v>
      </c>
      <c r="D35" s="6">
        <v>46152</v>
      </c>
      <c r="E35">
        <v>1998</v>
      </c>
      <c r="F35" t="s">
        <v>1314</v>
      </c>
      <c r="G35" t="s">
        <v>1323</v>
      </c>
      <c r="H35" t="s">
        <v>1409</v>
      </c>
    </row>
    <row r="36" spans="1:8">
      <c r="A36" t="s">
        <v>1355</v>
      </c>
      <c r="B36" t="s">
        <v>1245</v>
      </c>
      <c r="C36" t="s">
        <v>721</v>
      </c>
      <c r="D36" s="6">
        <v>46072</v>
      </c>
      <c r="E36">
        <v>1199</v>
      </c>
      <c r="F36" t="s">
        <v>1311</v>
      </c>
      <c r="G36" t="s">
        <v>1323</v>
      </c>
      <c r="H36" t="s">
        <v>1409</v>
      </c>
    </row>
    <row r="37" spans="1:8">
      <c r="A37" t="s">
        <v>1356</v>
      </c>
      <c r="B37" t="s">
        <v>1246</v>
      </c>
      <c r="C37" t="s">
        <v>290</v>
      </c>
      <c r="D37" s="6">
        <v>46112</v>
      </c>
      <c r="E37">
        <v>2299</v>
      </c>
      <c r="F37" t="s">
        <v>1317</v>
      </c>
      <c r="G37" t="s">
        <v>1323</v>
      </c>
      <c r="H37" t="s">
        <v>1426</v>
      </c>
    </row>
    <row r="38" spans="1:8">
      <c r="A38" t="s">
        <v>1358</v>
      </c>
      <c r="B38" t="s">
        <v>1248</v>
      </c>
      <c r="C38" t="s">
        <v>339</v>
      </c>
      <c r="D38" s="6">
        <v>46082</v>
      </c>
      <c r="E38">
        <v>6598</v>
      </c>
      <c r="F38" t="s">
        <v>1314</v>
      </c>
      <c r="G38" t="s">
        <v>1318</v>
      </c>
      <c r="H38" t="s">
        <v>1409</v>
      </c>
    </row>
    <row r="39" spans="1:8">
      <c r="A39" t="s">
        <v>1359</v>
      </c>
      <c r="B39" t="s">
        <v>1249</v>
      </c>
      <c r="C39" t="s">
        <v>570</v>
      </c>
      <c r="D39" s="6">
        <v>46132</v>
      </c>
      <c r="E39">
        <v>1499</v>
      </c>
      <c r="F39" t="s">
        <v>1311</v>
      </c>
      <c r="G39" t="s">
        <v>1312</v>
      </c>
      <c r="H39" t="s">
        <v>1409</v>
      </c>
    </row>
    <row r="40" spans="1:8">
      <c r="A40" t="s">
        <v>1361</v>
      </c>
      <c r="B40" t="s">
        <v>1252</v>
      </c>
      <c r="C40" t="s">
        <v>770</v>
      </c>
      <c r="D40" s="6">
        <v>46201</v>
      </c>
      <c r="E40">
        <v>2199</v>
      </c>
      <c r="F40" t="s">
        <v>1311</v>
      </c>
      <c r="G40" t="s">
        <v>1312</v>
      </c>
      <c r="H40" t="s">
        <v>1409</v>
      </c>
    </row>
    <row r="41" spans="1:8">
      <c r="A41" t="s">
        <v>1362</v>
      </c>
      <c r="B41" t="s">
        <v>1254</v>
      </c>
      <c r="C41" t="s">
        <v>579</v>
      </c>
      <c r="D41" s="6">
        <v>46223</v>
      </c>
      <c r="E41">
        <v>3499</v>
      </c>
      <c r="F41" t="s">
        <v>1317</v>
      </c>
      <c r="G41" t="s">
        <v>1320</v>
      </c>
      <c r="H41" t="s">
        <v>1425</v>
      </c>
    </row>
    <row r="42" spans="1:8">
      <c r="A42" t="s">
        <v>1363</v>
      </c>
      <c r="B42" t="s">
        <v>1256</v>
      </c>
      <c r="C42" t="s">
        <v>287</v>
      </c>
      <c r="D42" s="6">
        <v>46211</v>
      </c>
      <c r="E42">
        <v>1999</v>
      </c>
      <c r="F42" t="s">
        <v>1311</v>
      </c>
      <c r="G42" t="s">
        <v>1312</v>
      </c>
      <c r="H42" t="s">
        <v>1409</v>
      </c>
    </row>
    <row r="43" spans="1:8">
      <c r="A43" t="s">
        <v>1364</v>
      </c>
      <c r="B43" t="s">
        <v>1257</v>
      </c>
      <c r="C43" t="s">
        <v>246</v>
      </c>
      <c r="D43" s="6">
        <v>46213</v>
      </c>
      <c r="E43">
        <v>2398</v>
      </c>
      <c r="F43" t="s">
        <v>1317</v>
      </c>
      <c r="G43" t="s">
        <v>1323</v>
      </c>
      <c r="H43" t="s">
        <v>1409</v>
      </c>
    </row>
    <row r="44" spans="1:8">
      <c r="A44" t="s">
        <v>1365</v>
      </c>
      <c r="B44" t="s">
        <v>1259</v>
      </c>
      <c r="C44" t="s">
        <v>657</v>
      </c>
      <c r="D44" s="6">
        <v>46202</v>
      </c>
      <c r="E44">
        <v>1598</v>
      </c>
      <c r="F44" t="s">
        <v>1314</v>
      </c>
      <c r="G44" t="s">
        <v>1320</v>
      </c>
      <c r="H44" t="s">
        <v>1409</v>
      </c>
    </row>
    <row r="45" spans="1:8">
      <c r="A45" t="s">
        <v>1366</v>
      </c>
      <c r="B45" t="s">
        <v>1260</v>
      </c>
      <c r="C45" t="s">
        <v>129</v>
      </c>
      <c r="D45" s="6">
        <v>46144</v>
      </c>
      <c r="E45">
        <v>1799</v>
      </c>
      <c r="F45" t="s">
        <v>1317</v>
      </c>
      <c r="G45" t="s">
        <v>1312</v>
      </c>
      <c r="H45" t="s">
        <v>1409</v>
      </c>
    </row>
    <row r="46" spans="1:8">
      <c r="A46" t="s">
        <v>1367</v>
      </c>
      <c r="B46" t="s">
        <v>1261</v>
      </c>
      <c r="C46" t="s">
        <v>515</v>
      </c>
      <c r="D46" s="6">
        <v>46096</v>
      </c>
      <c r="E46">
        <v>2398</v>
      </c>
      <c r="F46" t="s">
        <v>1311</v>
      </c>
      <c r="G46" t="s">
        <v>1323</v>
      </c>
      <c r="H46" t="s">
        <v>1409</v>
      </c>
    </row>
    <row r="47" spans="1:8">
      <c r="A47" t="s">
        <v>1368</v>
      </c>
      <c r="B47" t="s">
        <v>1262</v>
      </c>
      <c r="C47" t="s">
        <v>381</v>
      </c>
      <c r="D47" s="6">
        <v>46158</v>
      </c>
      <c r="E47">
        <v>1899</v>
      </c>
      <c r="F47" t="s">
        <v>1311</v>
      </c>
      <c r="G47" t="s">
        <v>1323</v>
      </c>
      <c r="H47" t="s">
        <v>1409</v>
      </c>
    </row>
    <row r="48" spans="1:8">
      <c r="A48" t="s">
        <v>1369</v>
      </c>
      <c r="B48" t="s">
        <v>1264</v>
      </c>
      <c r="C48" t="s">
        <v>441</v>
      </c>
      <c r="D48" s="6">
        <v>46085</v>
      </c>
      <c r="E48">
        <v>2499</v>
      </c>
      <c r="F48" t="s">
        <v>1314</v>
      </c>
      <c r="G48" t="s">
        <v>1312</v>
      </c>
      <c r="H48" t="s">
        <v>1409</v>
      </c>
    </row>
    <row r="49" spans="1:8">
      <c r="A49" t="s">
        <v>1370</v>
      </c>
      <c r="B49" t="s">
        <v>1265</v>
      </c>
      <c r="C49" t="s">
        <v>745</v>
      </c>
      <c r="D49" s="6">
        <v>46205</v>
      </c>
      <c r="E49">
        <v>4497</v>
      </c>
      <c r="F49" t="s">
        <v>1314</v>
      </c>
      <c r="G49" t="s">
        <v>1320</v>
      </c>
      <c r="H49" t="s">
        <v>1409</v>
      </c>
    </row>
    <row r="50" spans="1:8">
      <c r="A50" t="s">
        <v>1371</v>
      </c>
      <c r="B50" t="s">
        <v>1266</v>
      </c>
      <c r="C50" t="s">
        <v>576</v>
      </c>
      <c r="D50" s="6">
        <v>46077</v>
      </c>
      <c r="E50">
        <v>6998</v>
      </c>
      <c r="F50" t="s">
        <v>1311</v>
      </c>
      <c r="G50" t="s">
        <v>1323</v>
      </c>
      <c r="H50" t="s">
        <v>1409</v>
      </c>
    </row>
    <row r="51" spans="1:8">
      <c r="A51" t="s">
        <v>1372</v>
      </c>
      <c r="B51" t="s">
        <v>1268</v>
      </c>
      <c r="C51" t="s">
        <v>630</v>
      </c>
      <c r="D51" s="6">
        <v>46197</v>
      </c>
      <c r="E51">
        <v>1598</v>
      </c>
      <c r="F51" t="s">
        <v>1317</v>
      </c>
      <c r="G51" t="s">
        <v>1323</v>
      </c>
      <c r="H51" t="s">
        <v>1409</v>
      </c>
    </row>
    <row r="52" spans="1:8">
      <c r="A52" t="s">
        <v>1373</v>
      </c>
      <c r="B52" t="s">
        <v>1269</v>
      </c>
      <c r="C52" t="s">
        <v>206</v>
      </c>
      <c r="D52" s="6">
        <v>46203</v>
      </c>
      <c r="E52">
        <v>1499</v>
      </c>
      <c r="F52" t="s">
        <v>1311</v>
      </c>
      <c r="G52" t="s">
        <v>1318</v>
      </c>
      <c r="H52" t="s">
        <v>1409</v>
      </c>
    </row>
    <row r="53" spans="1:8">
      <c r="A53" t="s">
        <v>1374</v>
      </c>
      <c r="B53" t="s">
        <v>1271</v>
      </c>
      <c r="C53" t="s">
        <v>715</v>
      </c>
      <c r="D53" s="6">
        <v>46176</v>
      </c>
      <c r="E53">
        <v>599</v>
      </c>
      <c r="F53" t="s">
        <v>1311</v>
      </c>
      <c r="G53" t="s">
        <v>1320</v>
      </c>
      <c r="H53" t="s">
        <v>1409</v>
      </c>
    </row>
    <row r="54" spans="1:8">
      <c r="A54" t="s">
        <v>1375</v>
      </c>
      <c r="B54" t="s">
        <v>1275</v>
      </c>
      <c r="C54" t="s">
        <v>79</v>
      </c>
      <c r="D54" s="6">
        <v>46214</v>
      </c>
      <c r="E54">
        <v>1499</v>
      </c>
      <c r="F54" t="s">
        <v>1311</v>
      </c>
      <c r="G54" t="s">
        <v>1318</v>
      </c>
      <c r="H54" t="s">
        <v>1409</v>
      </c>
    </row>
    <row r="55" spans="1:8">
      <c r="A55" t="s">
        <v>1376</v>
      </c>
      <c r="B55" t="s">
        <v>1279</v>
      </c>
      <c r="C55" t="s">
        <v>608</v>
      </c>
      <c r="D55" s="6">
        <v>46192</v>
      </c>
      <c r="E55">
        <v>799</v>
      </c>
      <c r="F55" t="s">
        <v>1311</v>
      </c>
      <c r="G55" t="s">
        <v>1323</v>
      </c>
      <c r="H55" t="s">
        <v>1409</v>
      </c>
    </row>
    <row r="56" spans="1:8">
      <c r="A56" t="s">
        <v>1377</v>
      </c>
      <c r="B56" t="s">
        <v>1280</v>
      </c>
      <c r="C56" t="s">
        <v>348</v>
      </c>
      <c r="D56" s="6">
        <v>46178</v>
      </c>
      <c r="E56">
        <v>2199</v>
      </c>
      <c r="F56" t="s">
        <v>1311</v>
      </c>
      <c r="G56" t="s">
        <v>1318</v>
      </c>
      <c r="H56" t="s">
        <v>1426</v>
      </c>
    </row>
    <row r="57" spans="1:8">
      <c r="A57" t="s">
        <v>1379</v>
      </c>
      <c r="B57" t="s">
        <v>1281</v>
      </c>
      <c r="C57" t="s">
        <v>448</v>
      </c>
      <c r="D57" s="6">
        <v>46073</v>
      </c>
      <c r="E57">
        <v>2697</v>
      </c>
      <c r="F57" t="s">
        <v>1311</v>
      </c>
      <c r="G57" t="s">
        <v>1417</v>
      </c>
      <c r="H57" t="s">
        <v>1409</v>
      </c>
    </row>
    <row r="58" spans="1:8">
      <c r="A58" t="s">
        <v>1380</v>
      </c>
      <c r="B58" t="s">
        <v>1284</v>
      </c>
      <c r="C58" t="s">
        <v>711</v>
      </c>
      <c r="D58" s="6">
        <v>46082</v>
      </c>
      <c r="E58">
        <v>1599</v>
      </c>
      <c r="F58" t="s">
        <v>1317</v>
      </c>
      <c r="G58" t="s">
        <v>1318</v>
      </c>
      <c r="H58" t="s">
        <v>1409</v>
      </c>
    </row>
    <row r="59" spans="1:8">
      <c r="A59" t="s">
        <v>1381</v>
      </c>
      <c r="B59" t="s">
        <v>1287</v>
      </c>
      <c r="C59" t="s">
        <v>388</v>
      </c>
      <c r="D59" s="6">
        <v>46200</v>
      </c>
      <c r="E59">
        <v>1598</v>
      </c>
      <c r="F59" t="s">
        <v>1317</v>
      </c>
      <c r="G59" t="s">
        <v>1320</v>
      </c>
      <c r="H59" t="s">
        <v>1409</v>
      </c>
    </row>
    <row r="60" spans="1:8">
      <c r="A60" t="s">
        <v>1382</v>
      </c>
      <c r="B60" t="s">
        <v>1288</v>
      </c>
      <c r="C60" t="s">
        <v>651</v>
      </c>
      <c r="D60" s="6">
        <v>46071</v>
      </c>
      <c r="E60">
        <v>499</v>
      </c>
      <c r="F60" t="s">
        <v>1311</v>
      </c>
      <c r="G60" t="s">
        <v>1318</v>
      </c>
      <c r="H60" t="s">
        <v>1409</v>
      </c>
    </row>
    <row r="61" spans="1:8">
      <c r="A61" t="s">
        <v>1383</v>
      </c>
      <c r="B61" t="s">
        <v>1290</v>
      </c>
      <c r="C61" t="s">
        <v>732</v>
      </c>
      <c r="D61" s="6">
        <v>46064</v>
      </c>
      <c r="E61">
        <v>1999</v>
      </c>
      <c r="F61" t="s">
        <v>1317</v>
      </c>
      <c r="G61" t="s">
        <v>1312</v>
      </c>
      <c r="H61" t="s">
        <v>1409</v>
      </c>
    </row>
    <row r="62" spans="1:8">
      <c r="A62" t="s">
        <v>1384</v>
      </c>
      <c r="B62" t="s">
        <v>1292</v>
      </c>
      <c r="C62" t="s">
        <v>755</v>
      </c>
      <c r="D62" s="6">
        <v>46217</v>
      </c>
      <c r="E62">
        <v>599</v>
      </c>
      <c r="F62" t="s">
        <v>1311</v>
      </c>
      <c r="G62" t="s">
        <v>1312</v>
      </c>
      <c r="H62" t="s">
        <v>1409</v>
      </c>
    </row>
    <row r="63" spans="1:8">
      <c r="A63" t="s">
        <v>1385</v>
      </c>
      <c r="B63" t="s">
        <v>1293</v>
      </c>
      <c r="C63" t="s">
        <v>416</v>
      </c>
      <c r="D63" s="6">
        <v>46221</v>
      </c>
      <c r="E63">
        <v>2299</v>
      </c>
      <c r="F63" t="s">
        <v>1314</v>
      </c>
      <c r="G63" t="s">
        <v>1320</v>
      </c>
      <c r="H63" t="s">
        <v>1409</v>
      </c>
    </row>
    <row r="64" spans="1:8">
      <c r="A64" t="s">
        <v>1386</v>
      </c>
      <c r="B64" t="s">
        <v>1297</v>
      </c>
      <c r="C64" t="s">
        <v>112</v>
      </c>
      <c r="D64" s="6">
        <v>46187</v>
      </c>
      <c r="E64">
        <v>3999</v>
      </c>
      <c r="F64" t="s">
        <v>1311</v>
      </c>
      <c r="G64" t="s">
        <v>1417</v>
      </c>
      <c r="H64" t="s">
        <v>1409</v>
      </c>
    </row>
    <row r="65" spans="1:8">
      <c r="A65" t="s">
        <v>1387</v>
      </c>
      <c r="B65" t="s">
        <v>1298</v>
      </c>
      <c r="C65" t="s">
        <v>622</v>
      </c>
      <c r="D65" s="6">
        <v>46109</v>
      </c>
      <c r="E65">
        <v>5598</v>
      </c>
      <c r="F65" t="s">
        <v>1317</v>
      </c>
      <c r="G65" t="s">
        <v>1312</v>
      </c>
      <c r="H65" t="s">
        <v>1409</v>
      </c>
    </row>
    <row r="66" spans="1:8">
      <c r="A66" t="s">
        <v>1388</v>
      </c>
      <c r="B66" t="s">
        <v>1299</v>
      </c>
      <c r="C66" t="s">
        <v>27</v>
      </c>
      <c r="D66" s="6">
        <v>46084</v>
      </c>
      <c r="E66">
        <v>1799</v>
      </c>
      <c r="F66" t="s">
        <v>1317</v>
      </c>
      <c r="G66" t="s">
        <v>1312</v>
      </c>
      <c r="H66" t="s">
        <v>1409</v>
      </c>
    </row>
    <row r="67" spans="1:8">
      <c r="A67" t="s">
        <v>1389</v>
      </c>
      <c r="B67" t="s">
        <v>1300</v>
      </c>
      <c r="C67" t="s">
        <v>200</v>
      </c>
      <c r="D67" s="6">
        <v>46114</v>
      </c>
      <c r="E67">
        <v>3499</v>
      </c>
      <c r="F67" t="s">
        <v>1311</v>
      </c>
      <c r="G67" t="s">
        <v>1323</v>
      </c>
      <c r="H67" t="s">
        <v>1409</v>
      </c>
    </row>
    <row r="68" spans="1:8">
      <c r="A68" t="s">
        <v>1391</v>
      </c>
      <c r="B68" t="s">
        <v>1301</v>
      </c>
      <c r="C68" t="s">
        <v>751</v>
      </c>
      <c r="D68" s="6">
        <v>46164</v>
      </c>
      <c r="E68">
        <v>2299</v>
      </c>
      <c r="F68" t="s">
        <v>1311</v>
      </c>
      <c r="G68" t="s">
        <v>1318</v>
      </c>
      <c r="H68" t="s">
        <v>1426</v>
      </c>
    </row>
    <row r="69" spans="1:8">
      <c r="A69" t="s">
        <v>1392</v>
      </c>
      <c r="B69" t="s">
        <v>1230</v>
      </c>
      <c r="C69" t="s">
        <v>230</v>
      </c>
      <c r="D69" s="6">
        <v>46209</v>
      </c>
      <c r="E69">
        <v>1499</v>
      </c>
      <c r="F69" t="s">
        <v>1314</v>
      </c>
      <c r="G69" t="s">
        <v>1320</v>
      </c>
      <c r="H69" t="s">
        <v>1409</v>
      </c>
    </row>
    <row r="70" spans="1:8">
      <c r="A70" t="s">
        <v>1394</v>
      </c>
      <c r="B70" t="s">
        <v>1238</v>
      </c>
      <c r="C70" t="s">
        <v>675</v>
      </c>
      <c r="D70" s="6">
        <v>46165</v>
      </c>
      <c r="E70">
        <v>1598</v>
      </c>
      <c r="F70" t="s">
        <v>1311</v>
      </c>
      <c r="G70" t="s">
        <v>1312</v>
      </c>
      <c r="H70" t="s">
        <v>1409</v>
      </c>
    </row>
    <row r="71" spans="1:8">
      <c r="A71" t="s">
        <v>1395</v>
      </c>
      <c r="B71" t="s">
        <v>1190</v>
      </c>
      <c r="C71" t="s">
        <v>600</v>
      </c>
      <c r="D71" s="6">
        <v>46101</v>
      </c>
      <c r="E71">
        <v>999</v>
      </c>
      <c r="F71" t="s">
        <v>1311</v>
      </c>
      <c r="G71" t="s">
        <v>1312</v>
      </c>
      <c r="H71" t="s">
        <v>1409</v>
      </c>
    </row>
    <row r="72" spans="1:8">
      <c r="A72" t="s">
        <v>1396</v>
      </c>
      <c r="B72" t="s">
        <v>1275</v>
      </c>
      <c r="C72" t="s">
        <v>79</v>
      </c>
      <c r="D72" s="6">
        <v>46216</v>
      </c>
      <c r="E72">
        <v>1499</v>
      </c>
      <c r="F72" t="s">
        <v>1311</v>
      </c>
      <c r="G72" t="s">
        <v>1318</v>
      </c>
      <c r="H72" t="s">
        <v>1409</v>
      </c>
    </row>
    <row r="73" spans="1:8">
      <c r="A73" t="s">
        <v>1397</v>
      </c>
      <c r="B73" t="s">
        <v>1266</v>
      </c>
      <c r="C73" t="s">
        <v>576</v>
      </c>
      <c r="D73" s="6">
        <v>46079</v>
      </c>
      <c r="E73">
        <v>6998</v>
      </c>
      <c r="F73" t="s">
        <v>1311</v>
      </c>
      <c r="G73" t="s">
        <v>1323</v>
      </c>
      <c r="H73" t="s">
        <v>1409</v>
      </c>
    </row>
    <row r="74" spans="1:8">
      <c r="A74" t="s">
        <v>1398</v>
      </c>
      <c r="B74" t="s">
        <v>1183</v>
      </c>
      <c r="C74" t="s">
        <v>44</v>
      </c>
      <c r="D74" s="6">
        <v>46168</v>
      </c>
      <c r="E74">
        <v>499</v>
      </c>
      <c r="F74" t="s">
        <v>1311</v>
      </c>
      <c r="G74" t="s">
        <v>1312</v>
      </c>
      <c r="H74" t="s">
        <v>1409</v>
      </c>
    </row>
    <row r="75" spans="1:8">
      <c r="A75" t="s">
        <v>1399</v>
      </c>
      <c r="B75" t="s">
        <v>1290</v>
      </c>
      <c r="C75" t="s">
        <v>732</v>
      </c>
      <c r="D75" s="6">
        <v>46066</v>
      </c>
      <c r="E75">
        <v>1999</v>
      </c>
      <c r="F75" t="s">
        <v>1317</v>
      </c>
      <c r="G75" t="s">
        <v>1312</v>
      </c>
      <c r="H75" t="s">
        <v>1409</v>
      </c>
    </row>
    <row r="76" spans="1:8">
      <c r="A76" t="s">
        <v>1400</v>
      </c>
      <c r="B76" t="s">
        <v>1401</v>
      </c>
      <c r="C76" t="s">
        <v>53</v>
      </c>
      <c r="D76" s="6">
        <v>46126</v>
      </c>
      <c r="E76">
        <v>3499</v>
      </c>
      <c r="F76" t="s">
        <v>1314</v>
      </c>
      <c r="G76" t="s">
        <v>1320</v>
      </c>
      <c r="H76" t="s">
        <v>1409</v>
      </c>
    </row>
    <row r="77" spans="1:8">
      <c r="A77" t="s">
        <v>1402</v>
      </c>
      <c r="C77" t="s">
        <v>466</v>
      </c>
      <c r="D77" s="6">
        <v>46227</v>
      </c>
      <c r="E77">
        <v>6598</v>
      </c>
      <c r="F77" t="s">
        <v>1314</v>
      </c>
      <c r="G77" t="s">
        <v>1320</v>
      </c>
      <c r="H77" t="s">
        <v>1409</v>
      </c>
    </row>
    <row r="78" spans="1:8">
      <c r="A78" t="s">
        <v>1403</v>
      </c>
      <c r="B78" t="s">
        <v>1404</v>
      </c>
      <c r="C78" t="s">
        <v>531</v>
      </c>
      <c r="D78" s="6">
        <v>46193</v>
      </c>
      <c r="E78">
        <v>499</v>
      </c>
      <c r="F78" t="s">
        <v>1314</v>
      </c>
      <c r="G78" t="s">
        <v>1312</v>
      </c>
      <c r="H78" t="s">
        <v>1409</v>
      </c>
    </row>
    <row r="79" spans="1:8">
      <c r="A79" t="s">
        <v>1405</v>
      </c>
      <c r="C79" t="s">
        <v>650</v>
      </c>
      <c r="D79" s="6">
        <v>46188</v>
      </c>
      <c r="E79">
        <v>3499</v>
      </c>
      <c r="F79" t="s">
        <v>1314</v>
      </c>
      <c r="G79" t="s">
        <v>1312</v>
      </c>
      <c r="H79" t="s">
        <v>1409</v>
      </c>
    </row>
    <row r="80" spans="1:8">
      <c r="A80" t="s">
        <v>1406</v>
      </c>
      <c r="C80" t="s">
        <v>755</v>
      </c>
      <c r="D80" s="6">
        <v>46221</v>
      </c>
      <c r="E80">
        <v>599</v>
      </c>
      <c r="F80" t="s">
        <v>1314</v>
      </c>
      <c r="G80" t="s">
        <v>1320</v>
      </c>
      <c r="H80" t="s">
        <v>1409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7E59B-FDB8-420C-8F30-4BBDEF1C952A}">
  <dimension ref="A1:G30"/>
  <sheetViews>
    <sheetView workbookViewId="0">
      <selection activeCell="H8" sqref="H8"/>
    </sheetView>
  </sheetViews>
  <sheetFormatPr defaultRowHeight="15"/>
  <cols>
    <col min="1" max="1" width="9.42578125" bestFit="1" customWidth="1"/>
    <col min="2" max="2" width="22.5703125" customWidth="1"/>
    <col min="3" max="3" width="28.140625" bestFit="1" customWidth="1"/>
    <col min="4" max="4" width="15.140625" bestFit="1" customWidth="1"/>
    <col min="5" max="5" width="24.140625" bestFit="1" customWidth="1"/>
    <col min="6" max="6" width="29.140625" bestFit="1" customWidth="1"/>
    <col min="7" max="7" width="22.7109375" bestFit="1" customWidth="1"/>
  </cols>
  <sheetData>
    <row r="1" spans="1:7">
      <c r="A1" s="45" t="s">
        <v>1451</v>
      </c>
      <c r="B1" s="45" t="s">
        <v>1568</v>
      </c>
      <c r="C1" s="45" t="s">
        <v>1468</v>
      </c>
      <c r="D1" s="45" t="s">
        <v>1469</v>
      </c>
      <c r="E1" s="45" t="s">
        <v>1569</v>
      </c>
      <c r="F1" s="45" t="s">
        <v>1570</v>
      </c>
      <c r="G1" s="45" t="s">
        <v>1457</v>
      </c>
    </row>
    <row r="2" spans="1:7" ht="25.5">
      <c r="A2" s="46" t="s">
        <v>1458</v>
      </c>
      <c r="B2" s="46" t="s">
        <v>0</v>
      </c>
      <c r="C2" s="46" t="s">
        <v>1571</v>
      </c>
      <c r="D2" s="46">
        <v>10</v>
      </c>
      <c r="E2" s="46" t="s">
        <v>1572</v>
      </c>
      <c r="F2" s="46" t="s">
        <v>1573</v>
      </c>
      <c r="G2" s="46" t="s">
        <v>1574</v>
      </c>
    </row>
    <row r="3" spans="1:7">
      <c r="A3" s="46" t="s">
        <v>1458</v>
      </c>
      <c r="B3" s="46" t="s">
        <v>2</v>
      </c>
      <c r="C3" s="46" t="s">
        <v>1575</v>
      </c>
      <c r="D3" s="46">
        <v>6</v>
      </c>
      <c r="E3" s="46" t="s">
        <v>1576</v>
      </c>
      <c r="F3" s="46" t="s">
        <v>1577</v>
      </c>
      <c r="G3" s="46" t="s">
        <v>1574</v>
      </c>
    </row>
    <row r="4" spans="1:7">
      <c r="A4" s="46" t="s">
        <v>1458</v>
      </c>
      <c r="B4" s="46" t="s">
        <v>4</v>
      </c>
      <c r="C4" s="46" t="s">
        <v>1575</v>
      </c>
      <c r="D4" s="46">
        <v>9</v>
      </c>
      <c r="E4" s="46" t="s">
        <v>1578</v>
      </c>
      <c r="F4" s="46" t="s">
        <v>1577</v>
      </c>
      <c r="G4" s="46" t="s">
        <v>1574</v>
      </c>
    </row>
    <row r="5" spans="1:7" ht="25.5">
      <c r="A5" s="46" t="s">
        <v>1458</v>
      </c>
      <c r="B5" s="46" t="s">
        <v>4</v>
      </c>
      <c r="C5" s="46" t="s">
        <v>1579</v>
      </c>
      <c r="D5" s="46" t="s">
        <v>1580</v>
      </c>
      <c r="E5" s="46" t="s">
        <v>1581</v>
      </c>
      <c r="F5" s="46" t="s">
        <v>1582</v>
      </c>
      <c r="G5" s="46" t="s">
        <v>1583</v>
      </c>
    </row>
    <row r="6" spans="1:7" ht="25.5">
      <c r="A6" s="46" t="s">
        <v>1458</v>
      </c>
      <c r="B6" s="46" t="s">
        <v>5</v>
      </c>
      <c r="C6" s="46" t="s">
        <v>1579</v>
      </c>
      <c r="D6" s="46" t="s">
        <v>1584</v>
      </c>
      <c r="E6" s="46" t="s">
        <v>1585</v>
      </c>
      <c r="F6" s="46" t="s">
        <v>1586</v>
      </c>
      <c r="G6" s="46" t="s">
        <v>1583</v>
      </c>
    </row>
    <row r="7" spans="1:7" ht="25.5">
      <c r="A7" s="46" t="s">
        <v>1458</v>
      </c>
      <c r="B7" s="46" t="s">
        <v>10</v>
      </c>
      <c r="C7" s="46" t="s">
        <v>1579</v>
      </c>
      <c r="D7" s="46" t="s">
        <v>1587</v>
      </c>
      <c r="E7" s="46" t="s">
        <v>1588</v>
      </c>
      <c r="F7" s="46" t="s">
        <v>1589</v>
      </c>
      <c r="G7" s="46" t="s">
        <v>1583</v>
      </c>
    </row>
    <row r="8" spans="1:7" ht="25.5">
      <c r="A8" s="46" t="s">
        <v>1458</v>
      </c>
      <c r="B8" s="46" t="s">
        <v>1</v>
      </c>
      <c r="C8" s="46" t="s">
        <v>1590</v>
      </c>
      <c r="D8" s="46">
        <v>8</v>
      </c>
      <c r="E8" s="46" t="s">
        <v>1591</v>
      </c>
      <c r="F8" s="46" t="s">
        <v>1592</v>
      </c>
      <c r="G8" s="46" t="s">
        <v>1583</v>
      </c>
    </row>
    <row r="9" spans="1:7" ht="25.5">
      <c r="A9" s="46" t="s">
        <v>1458</v>
      </c>
      <c r="B9" s="46" t="s">
        <v>9</v>
      </c>
      <c r="C9" s="46" t="s">
        <v>1593</v>
      </c>
      <c r="D9" s="46">
        <v>4</v>
      </c>
      <c r="E9" s="46" t="s">
        <v>1594</v>
      </c>
      <c r="F9" s="46" t="s">
        <v>1595</v>
      </c>
      <c r="G9" s="46" t="s">
        <v>1583</v>
      </c>
    </row>
    <row r="10" spans="1:7" ht="25.5">
      <c r="A10" s="46" t="s">
        <v>1458</v>
      </c>
      <c r="B10" s="46" t="s">
        <v>9</v>
      </c>
      <c r="C10" s="46" t="s">
        <v>1596</v>
      </c>
      <c r="D10" s="46">
        <v>5</v>
      </c>
      <c r="E10" s="46" t="s">
        <v>1597</v>
      </c>
      <c r="F10" s="46" t="s">
        <v>1595</v>
      </c>
      <c r="G10" s="46" t="s">
        <v>1583</v>
      </c>
    </row>
    <row r="11" spans="1:7">
      <c r="A11" s="46" t="s">
        <v>1459</v>
      </c>
      <c r="B11" s="46" t="s">
        <v>775</v>
      </c>
      <c r="C11" s="46" t="s">
        <v>1571</v>
      </c>
      <c r="D11" s="46">
        <v>4</v>
      </c>
      <c r="E11" s="46" t="s">
        <v>1598</v>
      </c>
      <c r="F11" s="46" t="s">
        <v>1573</v>
      </c>
      <c r="G11" s="46" t="s">
        <v>1599</v>
      </c>
    </row>
    <row r="12" spans="1:7">
      <c r="A12" s="46" t="s">
        <v>1459</v>
      </c>
      <c r="B12" s="46" t="s">
        <v>777</v>
      </c>
      <c r="C12" s="46" t="s">
        <v>1600</v>
      </c>
      <c r="D12" s="46" t="s">
        <v>1601</v>
      </c>
      <c r="E12" s="46" t="s">
        <v>1602</v>
      </c>
      <c r="F12" s="46" t="s">
        <v>1603</v>
      </c>
      <c r="G12" s="46" t="s">
        <v>1604</v>
      </c>
    </row>
    <row r="13" spans="1:7" ht="25.5">
      <c r="A13" s="46" t="s">
        <v>1459</v>
      </c>
      <c r="B13" s="46" t="s">
        <v>779</v>
      </c>
      <c r="C13" s="46" t="s">
        <v>1605</v>
      </c>
      <c r="D13" s="46" t="s">
        <v>1606</v>
      </c>
      <c r="E13" s="46" t="s">
        <v>1607</v>
      </c>
      <c r="F13" s="46" t="s">
        <v>1608</v>
      </c>
      <c r="G13" s="46" t="s">
        <v>1604</v>
      </c>
    </row>
    <row r="14" spans="1:7">
      <c r="A14" s="46" t="s">
        <v>1459</v>
      </c>
      <c r="B14" s="46" t="s">
        <v>776</v>
      </c>
      <c r="C14" s="46" t="s">
        <v>1609</v>
      </c>
      <c r="D14" s="46">
        <v>4</v>
      </c>
      <c r="E14" s="46" t="s">
        <v>1610</v>
      </c>
      <c r="F14" s="46" t="s">
        <v>1592</v>
      </c>
      <c r="G14" s="46" t="s">
        <v>1604</v>
      </c>
    </row>
    <row r="15" spans="1:7" ht="25.5">
      <c r="A15" s="46" t="s">
        <v>1459</v>
      </c>
      <c r="B15" s="46" t="s">
        <v>0</v>
      </c>
      <c r="C15" s="46" t="s">
        <v>1611</v>
      </c>
      <c r="D15" s="46">
        <v>2</v>
      </c>
      <c r="E15" s="46" t="s">
        <v>1612</v>
      </c>
      <c r="F15" s="46" t="s">
        <v>1613</v>
      </c>
      <c r="G15" s="46" t="s">
        <v>1614</v>
      </c>
    </row>
    <row r="16" spans="1:7">
      <c r="A16" s="46" t="s">
        <v>1460</v>
      </c>
      <c r="B16" s="46" t="s">
        <v>1178</v>
      </c>
      <c r="C16" s="46" t="s">
        <v>1571</v>
      </c>
      <c r="D16" s="46">
        <v>2</v>
      </c>
      <c r="E16" s="46" t="s">
        <v>1615</v>
      </c>
      <c r="F16" s="46" t="s">
        <v>1573</v>
      </c>
      <c r="G16" s="46" t="s">
        <v>1616</v>
      </c>
    </row>
    <row r="17" spans="1:7" ht="25.5">
      <c r="A17" s="46" t="s">
        <v>1460</v>
      </c>
      <c r="B17" s="46" t="s">
        <v>1181</v>
      </c>
      <c r="C17" s="46" t="s">
        <v>1605</v>
      </c>
      <c r="D17" s="46" t="s">
        <v>1617</v>
      </c>
      <c r="E17" s="46" t="s">
        <v>1618</v>
      </c>
      <c r="F17" s="46" t="s">
        <v>1619</v>
      </c>
      <c r="G17" s="46" t="s">
        <v>1620</v>
      </c>
    </row>
    <row r="18" spans="1:7" ht="25.5">
      <c r="A18" s="46" t="s">
        <v>1460</v>
      </c>
      <c r="B18" s="46" t="s">
        <v>1180</v>
      </c>
      <c r="C18" s="46" t="s">
        <v>1605</v>
      </c>
      <c r="D18" s="46" t="s">
        <v>1621</v>
      </c>
      <c r="E18" s="46" t="s">
        <v>1622</v>
      </c>
      <c r="F18" s="46" t="s">
        <v>1623</v>
      </c>
      <c r="G18" s="46" t="s">
        <v>1620</v>
      </c>
    </row>
    <row r="19" spans="1:7">
      <c r="A19" s="46" t="s">
        <v>1460</v>
      </c>
      <c r="B19" s="46" t="s">
        <v>1179</v>
      </c>
      <c r="C19" s="46" t="s">
        <v>1609</v>
      </c>
      <c r="D19" s="46">
        <v>4</v>
      </c>
      <c r="E19" s="46" t="s">
        <v>1610</v>
      </c>
      <c r="F19" s="46" t="s">
        <v>1592</v>
      </c>
      <c r="G19" s="46" t="s">
        <v>1620</v>
      </c>
    </row>
    <row r="20" spans="1:7" ht="25.5">
      <c r="A20" s="46" t="s">
        <v>1460</v>
      </c>
      <c r="B20" s="46" t="s">
        <v>1182</v>
      </c>
      <c r="C20" s="46" t="s">
        <v>1624</v>
      </c>
      <c r="D20" s="46">
        <v>18</v>
      </c>
      <c r="E20" s="46" t="s">
        <v>1625</v>
      </c>
      <c r="F20" s="46" t="s">
        <v>1626</v>
      </c>
      <c r="G20" s="46" t="s">
        <v>1627</v>
      </c>
    </row>
    <row r="21" spans="1:7" ht="25.5">
      <c r="A21" s="46" t="s">
        <v>1460</v>
      </c>
      <c r="B21" s="46" t="s">
        <v>0</v>
      </c>
      <c r="C21" s="46" t="s">
        <v>1628</v>
      </c>
      <c r="D21" s="46">
        <v>1</v>
      </c>
      <c r="E21" s="46" t="s">
        <v>1304</v>
      </c>
      <c r="F21" s="46" t="s">
        <v>1613</v>
      </c>
      <c r="G21" s="46" t="s">
        <v>1614</v>
      </c>
    </row>
    <row r="22" spans="1:7" ht="25.5">
      <c r="A22" s="46" t="s">
        <v>1460</v>
      </c>
      <c r="B22" s="46" t="s">
        <v>1179</v>
      </c>
      <c r="C22" s="46" t="s">
        <v>1629</v>
      </c>
      <c r="D22" s="46">
        <v>3</v>
      </c>
      <c r="E22" s="46" t="s">
        <v>1630</v>
      </c>
      <c r="F22" s="46" t="s">
        <v>1631</v>
      </c>
      <c r="G22" s="46" t="s">
        <v>1632</v>
      </c>
    </row>
    <row r="23" spans="1:7" ht="25.5">
      <c r="A23" s="46" t="s">
        <v>1438</v>
      </c>
      <c r="B23" s="46" t="s">
        <v>1307</v>
      </c>
      <c r="C23" s="46" t="s">
        <v>1633</v>
      </c>
      <c r="D23" s="46">
        <v>3</v>
      </c>
      <c r="E23" s="46" t="s">
        <v>1357</v>
      </c>
      <c r="F23" s="46" t="s">
        <v>1634</v>
      </c>
      <c r="G23" s="46" t="s">
        <v>1635</v>
      </c>
    </row>
    <row r="24" spans="1:7" ht="25.5">
      <c r="A24" s="46" t="s">
        <v>1438</v>
      </c>
      <c r="B24" s="46" t="s">
        <v>1307</v>
      </c>
      <c r="C24" s="46" t="s">
        <v>1593</v>
      </c>
      <c r="D24" s="46">
        <v>2</v>
      </c>
      <c r="E24" s="46" t="s">
        <v>1636</v>
      </c>
      <c r="F24" s="46" t="s">
        <v>1637</v>
      </c>
      <c r="G24" s="46" t="s">
        <v>1635</v>
      </c>
    </row>
    <row r="25" spans="1:7">
      <c r="A25" s="46" t="s">
        <v>1438</v>
      </c>
      <c r="B25" s="46" t="s">
        <v>1306</v>
      </c>
      <c r="C25" s="46" t="s">
        <v>1609</v>
      </c>
      <c r="D25" s="46">
        <v>3</v>
      </c>
      <c r="E25" s="46" t="s">
        <v>1610</v>
      </c>
      <c r="F25" s="46" t="s">
        <v>1592</v>
      </c>
      <c r="G25" s="46" t="s">
        <v>1635</v>
      </c>
    </row>
    <row r="26" spans="1:7">
      <c r="A26" s="46" t="s">
        <v>1438</v>
      </c>
      <c r="B26" s="46" t="s">
        <v>1309</v>
      </c>
      <c r="C26" s="46" t="s">
        <v>1638</v>
      </c>
      <c r="D26" s="46" t="s">
        <v>1639</v>
      </c>
      <c r="E26" s="46" t="s">
        <v>1640</v>
      </c>
      <c r="F26" s="46" t="s">
        <v>1641</v>
      </c>
      <c r="G26" s="46" t="s">
        <v>1635</v>
      </c>
    </row>
    <row r="27" spans="1:7">
      <c r="A27" s="46" t="s">
        <v>1438</v>
      </c>
      <c r="B27" s="46" t="s">
        <v>1309</v>
      </c>
      <c r="C27" s="46" t="s">
        <v>1575</v>
      </c>
      <c r="D27" s="46">
        <v>3</v>
      </c>
      <c r="E27" s="46" t="s">
        <v>1642</v>
      </c>
      <c r="F27" s="46" t="s">
        <v>1577</v>
      </c>
      <c r="G27" s="46" t="s">
        <v>1635</v>
      </c>
    </row>
    <row r="28" spans="1:7" ht="25.5">
      <c r="A28" s="46" t="s">
        <v>1438</v>
      </c>
      <c r="B28" s="46" t="s">
        <v>1178</v>
      </c>
      <c r="C28" s="46" t="s">
        <v>1643</v>
      </c>
      <c r="D28" s="46">
        <v>3</v>
      </c>
      <c r="E28" s="46" t="s">
        <v>1644</v>
      </c>
      <c r="F28" s="46" t="s">
        <v>1645</v>
      </c>
      <c r="G28" s="46" t="s">
        <v>1646</v>
      </c>
    </row>
    <row r="29" spans="1:7" ht="25.5">
      <c r="A29" s="46" t="s">
        <v>1438</v>
      </c>
      <c r="B29" s="46" t="s">
        <v>1178</v>
      </c>
      <c r="C29" s="46" t="s">
        <v>1647</v>
      </c>
      <c r="D29" s="46">
        <v>2</v>
      </c>
      <c r="E29" s="46" t="s">
        <v>1648</v>
      </c>
      <c r="F29" s="46" t="s">
        <v>1649</v>
      </c>
      <c r="G29" s="46" t="s">
        <v>1646</v>
      </c>
    </row>
    <row r="30" spans="1:7" ht="25.5">
      <c r="A30" s="46" t="s">
        <v>1438</v>
      </c>
      <c r="B30" s="46" t="s">
        <v>1178</v>
      </c>
      <c r="C30" s="46" t="s">
        <v>1650</v>
      </c>
      <c r="D30" s="46">
        <v>7</v>
      </c>
      <c r="E30" s="46" t="s">
        <v>1651</v>
      </c>
      <c r="F30" s="46" t="s">
        <v>1652</v>
      </c>
      <c r="G30" s="46" t="s">
        <v>1653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1"/>
  <sheetViews>
    <sheetView workbookViewId="0">
      <pane ySplit="1" topLeftCell="A2" activePane="bottomLeft" state="frozen"/>
      <selection pane="bottomLeft" activeCell="D404" sqref="D404"/>
    </sheetView>
  </sheetViews>
  <sheetFormatPr defaultRowHeight="15"/>
  <cols>
    <col min="1" max="1" width="14" customWidth="1"/>
    <col min="2" max="2" width="21" customWidth="1"/>
    <col min="3" max="3" width="14.5703125" customWidth="1"/>
    <col min="4" max="4" width="18" customWidth="1"/>
    <col min="5" max="5" width="14" customWidth="1"/>
    <col min="6" max="6" width="18" customWidth="1"/>
    <col min="7" max="7" width="19" customWidth="1"/>
    <col min="8" max="9" width="14" customWidth="1"/>
    <col min="10" max="10" width="16.28515625" customWidth="1"/>
    <col min="11" max="11" width="14.855468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3">
        <v>46078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1</v>
      </c>
      <c r="I2" s="1">
        <v>1999</v>
      </c>
      <c r="J2" s="1">
        <v>1999</v>
      </c>
      <c r="K2" s="1" t="s">
        <v>17</v>
      </c>
    </row>
    <row r="3" spans="1:11">
      <c r="A3" s="1" t="s">
        <v>18</v>
      </c>
      <c r="B3" s="3">
        <v>46121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>
        <v>1</v>
      </c>
      <c r="I3" s="1">
        <v>3299</v>
      </c>
      <c r="J3" s="1">
        <v>3299</v>
      </c>
      <c r="K3" s="1" t="s">
        <v>17</v>
      </c>
    </row>
    <row r="4" spans="1:11">
      <c r="A4" s="1" t="s">
        <v>24</v>
      </c>
      <c r="B4" s="3">
        <v>46090</v>
      </c>
      <c r="C4" s="1" t="s">
        <v>19</v>
      </c>
      <c r="D4" s="1" t="s">
        <v>20</v>
      </c>
      <c r="E4" s="1" t="s">
        <v>21</v>
      </c>
      <c r="F4" s="1" t="s">
        <v>25</v>
      </c>
      <c r="G4" s="1" t="s">
        <v>26</v>
      </c>
      <c r="H4" s="1">
        <v>1</v>
      </c>
      <c r="I4" s="1">
        <v>1299</v>
      </c>
      <c r="J4" s="1">
        <v>1299</v>
      </c>
      <c r="K4" s="1" t="s">
        <v>17</v>
      </c>
    </row>
    <row r="5" spans="1:11">
      <c r="A5" s="1" t="s">
        <v>27</v>
      </c>
      <c r="B5" s="3">
        <v>46053</v>
      </c>
      <c r="C5" s="1" t="s">
        <v>28</v>
      </c>
      <c r="D5" s="1" t="s">
        <v>29</v>
      </c>
      <c r="E5" s="1" t="s">
        <v>30</v>
      </c>
      <c r="F5" s="1" t="s">
        <v>25</v>
      </c>
      <c r="G5" s="1" t="s">
        <v>31</v>
      </c>
      <c r="H5" s="1">
        <v>1</v>
      </c>
      <c r="I5" s="1">
        <v>1799</v>
      </c>
      <c r="J5" s="1">
        <v>1799</v>
      </c>
      <c r="K5" s="1" t="s">
        <v>17</v>
      </c>
    </row>
    <row r="6" spans="1:11">
      <c r="A6" s="1" t="s">
        <v>32</v>
      </c>
      <c r="B6" s="3">
        <v>46099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>
        <v>2</v>
      </c>
      <c r="I6" s="1">
        <v>2299</v>
      </c>
      <c r="J6" s="1">
        <v>4598</v>
      </c>
      <c r="K6" s="1" t="s">
        <v>38</v>
      </c>
    </row>
    <row r="7" spans="1:11">
      <c r="A7" s="1" t="s">
        <v>39</v>
      </c>
      <c r="B7" s="3">
        <v>46182</v>
      </c>
      <c r="C7" s="1" t="s">
        <v>40</v>
      </c>
      <c r="D7" s="1" t="s">
        <v>41</v>
      </c>
      <c r="E7" s="1" t="s">
        <v>21</v>
      </c>
      <c r="F7" s="1" t="s">
        <v>42</v>
      </c>
      <c r="G7" s="1" t="s">
        <v>43</v>
      </c>
      <c r="H7" s="1">
        <v>1</v>
      </c>
      <c r="I7" s="1">
        <v>1499</v>
      </c>
      <c r="J7" s="1">
        <v>1499</v>
      </c>
      <c r="K7" s="1" t="s">
        <v>17</v>
      </c>
    </row>
    <row r="8" spans="1:11">
      <c r="A8" s="1" t="s">
        <v>44</v>
      </c>
      <c r="B8" s="3">
        <v>46132</v>
      </c>
      <c r="C8" s="1" t="s">
        <v>45</v>
      </c>
      <c r="D8" s="1" t="s">
        <v>46</v>
      </c>
      <c r="E8" s="1" t="s">
        <v>14</v>
      </c>
      <c r="F8" s="1" t="s">
        <v>47</v>
      </c>
      <c r="G8" s="1" t="s">
        <v>48</v>
      </c>
      <c r="H8" s="1">
        <v>1</v>
      </c>
      <c r="I8" s="1">
        <v>499</v>
      </c>
      <c r="J8" s="1">
        <v>499</v>
      </c>
      <c r="K8" s="1" t="s">
        <v>17</v>
      </c>
    </row>
    <row r="9" spans="1:11">
      <c r="A9" s="1" t="s">
        <v>49</v>
      </c>
      <c r="B9" s="3">
        <v>46096</v>
      </c>
      <c r="C9" s="1" t="s">
        <v>50</v>
      </c>
      <c r="D9" s="1" t="s">
        <v>51</v>
      </c>
      <c r="E9" s="1" t="s">
        <v>21</v>
      </c>
      <c r="F9" s="1" t="s">
        <v>15</v>
      </c>
      <c r="G9" s="1" t="s">
        <v>52</v>
      </c>
      <c r="H9" s="1">
        <v>3</v>
      </c>
      <c r="I9" s="1">
        <v>899</v>
      </c>
      <c r="J9" s="1">
        <v>2697</v>
      </c>
      <c r="K9" s="1" t="s">
        <v>17</v>
      </c>
    </row>
    <row r="10" spans="1:11">
      <c r="A10" s="1" t="s">
        <v>53</v>
      </c>
      <c r="B10" s="3">
        <v>46142</v>
      </c>
      <c r="C10" s="1" t="s">
        <v>54</v>
      </c>
      <c r="D10" s="1" t="s">
        <v>55</v>
      </c>
      <c r="E10" s="1" t="s">
        <v>14</v>
      </c>
      <c r="F10" s="1" t="s">
        <v>47</v>
      </c>
      <c r="G10" s="1" t="s">
        <v>56</v>
      </c>
      <c r="H10" s="1">
        <v>1</v>
      </c>
      <c r="I10" s="1">
        <v>3499</v>
      </c>
      <c r="J10" s="1">
        <v>3499</v>
      </c>
      <c r="K10" s="1" t="s">
        <v>17</v>
      </c>
    </row>
    <row r="11" spans="1:11">
      <c r="A11" s="1" t="s">
        <v>57</v>
      </c>
      <c r="B11" s="3">
        <v>46051</v>
      </c>
      <c r="C11" s="1" t="s">
        <v>58</v>
      </c>
      <c r="D11" s="1" t="s">
        <v>59</v>
      </c>
      <c r="E11" s="1" t="s">
        <v>14</v>
      </c>
      <c r="F11" s="1" t="s">
        <v>25</v>
      </c>
      <c r="G11" s="1" t="s">
        <v>26</v>
      </c>
      <c r="H11" s="1">
        <v>1</v>
      </c>
      <c r="I11" s="1">
        <v>1299</v>
      </c>
      <c r="J11" s="1">
        <v>1299</v>
      </c>
      <c r="K11" s="1" t="s">
        <v>60</v>
      </c>
    </row>
    <row r="12" spans="1:11">
      <c r="A12" s="1" t="s">
        <v>61</v>
      </c>
      <c r="B12" s="3">
        <v>46186</v>
      </c>
      <c r="C12" s="1" t="s">
        <v>62</v>
      </c>
      <c r="D12" s="1" t="s">
        <v>63</v>
      </c>
      <c r="E12" s="1" t="s">
        <v>64</v>
      </c>
      <c r="F12" s="1" t="s">
        <v>15</v>
      </c>
      <c r="G12" s="1" t="s">
        <v>16</v>
      </c>
      <c r="H12" s="1">
        <v>2</v>
      </c>
      <c r="I12" s="1">
        <v>1999</v>
      </c>
      <c r="J12" s="1">
        <v>3998</v>
      </c>
      <c r="K12" s="1" t="s">
        <v>17</v>
      </c>
    </row>
    <row r="13" spans="1:11">
      <c r="A13" s="1" t="s">
        <v>65</v>
      </c>
      <c r="B13" s="3">
        <v>46110</v>
      </c>
      <c r="C13" s="1" t="s">
        <v>66</v>
      </c>
      <c r="D13" s="1" t="s">
        <v>67</v>
      </c>
      <c r="E13" s="1" t="s">
        <v>21</v>
      </c>
      <c r="F13" s="1" t="s">
        <v>68</v>
      </c>
      <c r="G13" s="1" t="s">
        <v>69</v>
      </c>
      <c r="H13" s="1">
        <v>1</v>
      </c>
      <c r="I13" s="1">
        <v>2199</v>
      </c>
      <c r="J13" s="1">
        <v>2199</v>
      </c>
      <c r="K13" s="1" t="s">
        <v>17</v>
      </c>
    </row>
    <row r="14" spans="1:11">
      <c r="A14" s="1" t="s">
        <v>70</v>
      </c>
      <c r="B14" s="3">
        <v>46045</v>
      </c>
      <c r="C14" s="1" t="s">
        <v>71</v>
      </c>
      <c r="D14" s="1" t="s">
        <v>72</v>
      </c>
      <c r="E14" s="1" t="s">
        <v>73</v>
      </c>
      <c r="F14" s="1" t="s">
        <v>36</v>
      </c>
      <c r="G14" s="1" t="s">
        <v>37</v>
      </c>
      <c r="H14" s="1">
        <v>1</v>
      </c>
      <c r="I14" s="1">
        <v>2299</v>
      </c>
      <c r="J14" s="1">
        <v>2299</v>
      </c>
      <c r="K14" s="1" t="s">
        <v>38</v>
      </c>
    </row>
    <row r="15" spans="1:11">
      <c r="A15" s="1" t="s">
        <v>74</v>
      </c>
      <c r="B15" s="3">
        <v>46122</v>
      </c>
      <c r="C15" s="1" t="s">
        <v>75</v>
      </c>
      <c r="D15" s="1" t="s">
        <v>76</v>
      </c>
      <c r="E15" s="1" t="s">
        <v>64</v>
      </c>
      <c r="F15" s="1" t="s">
        <v>77</v>
      </c>
      <c r="G15" s="1" t="s">
        <v>69</v>
      </c>
      <c r="H15" s="1">
        <v>1</v>
      </c>
      <c r="I15" s="1">
        <v>2199</v>
      </c>
      <c r="J15" s="1">
        <v>2199</v>
      </c>
      <c r="K15" s="1" t="s">
        <v>78</v>
      </c>
    </row>
    <row r="16" spans="1:11">
      <c r="A16" s="1" t="s">
        <v>79</v>
      </c>
      <c r="B16" s="3">
        <v>46188</v>
      </c>
      <c r="C16" s="1" t="s">
        <v>80</v>
      </c>
      <c r="D16" s="1" t="s">
        <v>81</v>
      </c>
      <c r="E16" s="1" t="s">
        <v>30</v>
      </c>
      <c r="F16" s="1" t="s">
        <v>22</v>
      </c>
      <c r="G16" s="1" t="s">
        <v>43</v>
      </c>
      <c r="H16" s="1">
        <v>1</v>
      </c>
      <c r="I16" s="1">
        <v>1499</v>
      </c>
      <c r="J16" s="1">
        <v>1499</v>
      </c>
      <c r="K16" s="1" t="s">
        <v>17</v>
      </c>
    </row>
    <row r="17" spans="1:11">
      <c r="A17" s="1" t="s">
        <v>82</v>
      </c>
      <c r="B17" s="3">
        <v>46184</v>
      </c>
      <c r="C17" s="1" t="s">
        <v>83</v>
      </c>
      <c r="D17" s="1" t="s">
        <v>84</v>
      </c>
      <c r="E17" s="1" t="s">
        <v>85</v>
      </c>
      <c r="F17" s="1" t="s">
        <v>15</v>
      </c>
      <c r="G17" s="1" t="s">
        <v>16</v>
      </c>
      <c r="H17" s="1">
        <v>1</v>
      </c>
      <c r="I17" s="1">
        <v>1999</v>
      </c>
      <c r="J17" s="1">
        <v>1999</v>
      </c>
      <c r="K17" s="1" t="s">
        <v>17</v>
      </c>
    </row>
    <row r="18" spans="1:11">
      <c r="A18" s="1" t="s">
        <v>86</v>
      </c>
      <c r="B18" s="3">
        <v>46160</v>
      </c>
      <c r="C18" s="1" t="s">
        <v>87</v>
      </c>
      <c r="D18" s="1" t="s">
        <v>88</v>
      </c>
      <c r="E18" s="1" t="s">
        <v>89</v>
      </c>
      <c r="F18" s="1" t="s">
        <v>47</v>
      </c>
      <c r="G18" s="1" t="s">
        <v>56</v>
      </c>
      <c r="H18" s="1">
        <v>1</v>
      </c>
      <c r="I18" s="1">
        <v>3499</v>
      </c>
      <c r="J18" s="1">
        <v>3499</v>
      </c>
      <c r="K18" s="1" t="s">
        <v>17</v>
      </c>
    </row>
    <row r="19" spans="1:11">
      <c r="A19" s="1" t="s">
        <v>90</v>
      </c>
      <c r="B19" s="3">
        <v>46187</v>
      </c>
      <c r="C19" s="1" t="s">
        <v>40</v>
      </c>
      <c r="D19" s="1" t="s">
        <v>41</v>
      </c>
      <c r="E19" s="1" t="s">
        <v>21</v>
      </c>
      <c r="F19" s="1" t="s">
        <v>15</v>
      </c>
      <c r="G19" s="1" t="s">
        <v>52</v>
      </c>
      <c r="H19" s="1">
        <v>1</v>
      </c>
      <c r="I19" s="1">
        <v>899</v>
      </c>
      <c r="J19" s="1">
        <v>899</v>
      </c>
      <c r="K19" s="1" t="s">
        <v>17</v>
      </c>
    </row>
    <row r="20" spans="1:11">
      <c r="A20" s="1" t="s">
        <v>91</v>
      </c>
      <c r="B20" s="3">
        <v>46106</v>
      </c>
      <c r="C20" s="1" t="s">
        <v>92</v>
      </c>
      <c r="D20" s="1" t="s">
        <v>93</v>
      </c>
      <c r="E20" s="1" t="s">
        <v>73</v>
      </c>
      <c r="F20" s="1" t="s">
        <v>25</v>
      </c>
      <c r="G20" s="1" t="s">
        <v>31</v>
      </c>
      <c r="H20" s="1">
        <v>2</v>
      </c>
      <c r="I20" s="1">
        <v>1799</v>
      </c>
      <c r="J20" s="1">
        <v>3598</v>
      </c>
      <c r="K20" s="1" t="s">
        <v>17</v>
      </c>
    </row>
    <row r="21" spans="1:11">
      <c r="A21" s="1" t="s">
        <v>94</v>
      </c>
      <c r="B21" s="3">
        <v>46072</v>
      </c>
      <c r="C21" s="1" t="s">
        <v>95</v>
      </c>
      <c r="D21" s="1" t="s">
        <v>84</v>
      </c>
      <c r="E21" s="1" t="s">
        <v>96</v>
      </c>
      <c r="F21" s="1" t="s">
        <v>47</v>
      </c>
      <c r="G21" s="1" t="s">
        <v>48</v>
      </c>
      <c r="H21" s="1">
        <v>2</v>
      </c>
      <c r="I21" s="1">
        <v>499</v>
      </c>
      <c r="J21" s="1">
        <v>998</v>
      </c>
      <c r="K21" s="1" t="s">
        <v>17</v>
      </c>
    </row>
    <row r="22" spans="1:11">
      <c r="A22" s="1" t="s">
        <v>97</v>
      </c>
      <c r="B22" s="3">
        <v>46029</v>
      </c>
      <c r="C22" s="1" t="s">
        <v>98</v>
      </c>
      <c r="D22" s="1" t="s">
        <v>99</v>
      </c>
      <c r="E22" s="1" t="s">
        <v>64</v>
      </c>
      <c r="F22" s="1" t="s">
        <v>47</v>
      </c>
      <c r="G22" s="1" t="s">
        <v>100</v>
      </c>
      <c r="H22" s="1">
        <v>1</v>
      </c>
      <c r="I22" s="1">
        <v>2799</v>
      </c>
      <c r="J22" s="1">
        <v>2799</v>
      </c>
      <c r="K22" s="1" t="s">
        <v>17</v>
      </c>
    </row>
    <row r="23" spans="1:11">
      <c r="A23" s="1" t="s">
        <v>101</v>
      </c>
      <c r="B23" s="3">
        <v>46133</v>
      </c>
      <c r="C23" s="1" t="s">
        <v>102</v>
      </c>
      <c r="D23" s="1" t="s">
        <v>103</v>
      </c>
      <c r="E23" s="1" t="s">
        <v>104</v>
      </c>
      <c r="F23" s="1" t="s">
        <v>22</v>
      </c>
      <c r="G23" s="1" t="s">
        <v>43</v>
      </c>
      <c r="H23" s="1">
        <v>1</v>
      </c>
      <c r="I23" s="1">
        <v>1499</v>
      </c>
      <c r="J23" s="1">
        <v>1499</v>
      </c>
      <c r="K23" s="1" t="s">
        <v>17</v>
      </c>
    </row>
    <row r="24" spans="1:11">
      <c r="A24" s="1" t="s">
        <v>105</v>
      </c>
      <c r="B24" s="3">
        <v>46190</v>
      </c>
      <c r="C24" s="1" t="s">
        <v>106</v>
      </c>
      <c r="D24" s="1" t="s">
        <v>107</v>
      </c>
      <c r="E24" s="1" t="s">
        <v>21</v>
      </c>
      <c r="F24" s="1" t="s">
        <v>108</v>
      </c>
      <c r="G24" s="1" t="s">
        <v>37</v>
      </c>
      <c r="H24" s="1">
        <v>1</v>
      </c>
      <c r="I24" s="1">
        <v>2299</v>
      </c>
      <c r="J24" s="1">
        <v>2299</v>
      </c>
      <c r="K24" s="1" t="s">
        <v>17</v>
      </c>
    </row>
    <row r="25" spans="1:11">
      <c r="A25" s="1" t="s">
        <v>109</v>
      </c>
      <c r="B25" s="3">
        <v>46189</v>
      </c>
      <c r="C25" s="1" t="s">
        <v>110</v>
      </c>
      <c r="D25" s="1" t="s">
        <v>111</v>
      </c>
      <c r="E25" s="1" t="s">
        <v>30</v>
      </c>
      <c r="F25" s="1" t="s">
        <v>22</v>
      </c>
      <c r="G25" s="1" t="s">
        <v>43</v>
      </c>
      <c r="H25" s="1">
        <v>1</v>
      </c>
      <c r="I25" s="1">
        <v>1499</v>
      </c>
      <c r="J25" s="1">
        <v>1499</v>
      </c>
      <c r="K25" s="1" t="s">
        <v>17</v>
      </c>
    </row>
    <row r="26" spans="1:11">
      <c r="A26" s="1" t="s">
        <v>112</v>
      </c>
      <c r="B26" s="3">
        <v>46156</v>
      </c>
      <c r="C26" s="1" t="s">
        <v>113</v>
      </c>
      <c r="D26" s="1" t="s">
        <v>114</v>
      </c>
      <c r="E26" s="1" t="s">
        <v>14</v>
      </c>
      <c r="F26" s="1" t="s">
        <v>25</v>
      </c>
      <c r="G26" s="1" t="s">
        <v>115</v>
      </c>
      <c r="H26" s="1">
        <v>1</v>
      </c>
      <c r="I26" s="1">
        <v>3999</v>
      </c>
      <c r="J26" s="1">
        <v>3999</v>
      </c>
      <c r="K26" s="1" t="s">
        <v>17</v>
      </c>
    </row>
    <row r="27" spans="1:11">
      <c r="A27" s="1" t="s">
        <v>116</v>
      </c>
      <c r="B27" s="3">
        <v>46072</v>
      </c>
      <c r="C27" s="1" t="s">
        <v>117</v>
      </c>
      <c r="D27" s="1" t="s">
        <v>118</v>
      </c>
      <c r="E27" s="1" t="s">
        <v>119</v>
      </c>
      <c r="F27" s="1" t="s">
        <v>36</v>
      </c>
      <c r="G27" s="1" t="s">
        <v>37</v>
      </c>
      <c r="H27" s="1">
        <v>3</v>
      </c>
      <c r="I27" s="1">
        <v>2299</v>
      </c>
      <c r="J27" s="1">
        <v>6897</v>
      </c>
      <c r="K27" s="1" t="s">
        <v>120</v>
      </c>
    </row>
    <row r="28" spans="1:11">
      <c r="A28" s="1" t="s">
        <v>121</v>
      </c>
      <c r="B28" s="3">
        <v>46179</v>
      </c>
      <c r="C28" s="1" t="s">
        <v>122</v>
      </c>
      <c r="D28" s="1" t="s">
        <v>123</v>
      </c>
      <c r="E28" s="1" t="s">
        <v>14</v>
      </c>
      <c r="F28" s="1" t="s">
        <v>25</v>
      </c>
      <c r="G28" s="1" t="s">
        <v>69</v>
      </c>
      <c r="H28" s="1">
        <v>1</v>
      </c>
      <c r="I28" s="1">
        <v>2199</v>
      </c>
      <c r="J28" s="1">
        <v>2199</v>
      </c>
      <c r="K28" s="1" t="s">
        <v>17</v>
      </c>
    </row>
    <row r="29" spans="1:11">
      <c r="A29" s="1" t="s">
        <v>124</v>
      </c>
      <c r="B29" s="3">
        <v>46093</v>
      </c>
      <c r="C29" s="1" t="s">
        <v>125</v>
      </c>
      <c r="D29" s="1" t="s">
        <v>126</v>
      </c>
      <c r="E29" s="1" t="s">
        <v>104</v>
      </c>
      <c r="F29" s="1" t="s">
        <v>127</v>
      </c>
      <c r="G29" s="1" t="s">
        <v>128</v>
      </c>
      <c r="H29" s="1">
        <v>1</v>
      </c>
      <c r="I29" s="1">
        <v>1199</v>
      </c>
      <c r="J29" s="1">
        <v>1199</v>
      </c>
      <c r="K29" s="1" t="s">
        <v>38</v>
      </c>
    </row>
    <row r="30" spans="1:11">
      <c r="A30" s="1" t="s">
        <v>129</v>
      </c>
      <c r="B30" s="3">
        <v>46111</v>
      </c>
      <c r="C30" s="1" t="s">
        <v>130</v>
      </c>
      <c r="D30" s="1" t="s">
        <v>131</v>
      </c>
      <c r="E30" s="1" t="s">
        <v>30</v>
      </c>
      <c r="F30" s="1" t="s">
        <v>25</v>
      </c>
      <c r="G30" s="1" t="s">
        <v>31</v>
      </c>
      <c r="H30" s="1">
        <v>1</v>
      </c>
      <c r="I30" s="1">
        <v>1799</v>
      </c>
      <c r="J30" s="1">
        <v>1799</v>
      </c>
      <c r="K30" s="1" t="s">
        <v>17</v>
      </c>
    </row>
    <row r="31" spans="1:11">
      <c r="A31" s="1" t="s">
        <v>132</v>
      </c>
      <c r="B31" s="3">
        <v>46124</v>
      </c>
      <c r="C31" s="1" t="s">
        <v>133</v>
      </c>
      <c r="D31" s="1" t="s">
        <v>134</v>
      </c>
      <c r="E31" s="1" t="s">
        <v>104</v>
      </c>
      <c r="F31" s="1" t="s">
        <v>22</v>
      </c>
      <c r="G31" s="1" t="s">
        <v>43</v>
      </c>
      <c r="H31" s="1">
        <v>1</v>
      </c>
      <c r="I31" s="1">
        <v>1499</v>
      </c>
      <c r="J31" s="1">
        <v>-1499</v>
      </c>
      <c r="K31" s="1" t="s">
        <v>17</v>
      </c>
    </row>
    <row r="32" spans="1:11">
      <c r="A32" s="1" t="s">
        <v>135</v>
      </c>
      <c r="B32" s="3">
        <v>46060</v>
      </c>
      <c r="C32" s="1" t="s">
        <v>136</v>
      </c>
      <c r="D32" s="1" t="s">
        <v>137</v>
      </c>
      <c r="E32" s="1" t="s">
        <v>21</v>
      </c>
      <c r="F32" s="1" t="s">
        <v>22</v>
      </c>
      <c r="G32" s="1" t="s">
        <v>138</v>
      </c>
      <c r="H32" s="1">
        <v>1</v>
      </c>
      <c r="I32" s="1">
        <v>599</v>
      </c>
      <c r="J32" s="1">
        <v>599</v>
      </c>
      <c r="K32" s="1" t="s">
        <v>17</v>
      </c>
    </row>
    <row r="33" spans="1:11">
      <c r="A33" s="1" t="s">
        <v>139</v>
      </c>
      <c r="B33" s="3">
        <v>46061</v>
      </c>
      <c r="C33" s="1"/>
      <c r="D33" s="1" t="s">
        <v>140</v>
      </c>
      <c r="E33" s="1" t="s">
        <v>73</v>
      </c>
      <c r="F33" s="1" t="s">
        <v>36</v>
      </c>
      <c r="G33" s="1" t="s">
        <v>141</v>
      </c>
      <c r="H33" s="1">
        <v>1</v>
      </c>
      <c r="I33" s="1">
        <v>999</v>
      </c>
      <c r="J33" s="1">
        <v>999</v>
      </c>
      <c r="K33" s="1" t="s">
        <v>17</v>
      </c>
    </row>
    <row r="34" spans="1:11">
      <c r="A34" s="1" t="s">
        <v>142</v>
      </c>
      <c r="B34" s="3">
        <v>46085</v>
      </c>
      <c r="C34" s="1" t="s">
        <v>143</v>
      </c>
      <c r="D34" s="1" t="s">
        <v>144</v>
      </c>
      <c r="E34" s="1" t="s">
        <v>14</v>
      </c>
      <c r="F34" s="1" t="s">
        <v>22</v>
      </c>
      <c r="G34" s="1" t="s">
        <v>43</v>
      </c>
      <c r="H34" s="1">
        <v>3</v>
      </c>
      <c r="I34" s="1">
        <v>1499</v>
      </c>
      <c r="J34" s="1">
        <v>4497</v>
      </c>
      <c r="K34" s="1" t="s">
        <v>17</v>
      </c>
    </row>
    <row r="35" spans="1:11">
      <c r="A35" s="1" t="s">
        <v>145</v>
      </c>
      <c r="B35" s="3">
        <v>46048</v>
      </c>
      <c r="C35" s="1" t="s">
        <v>146</v>
      </c>
      <c r="D35" s="1" t="s">
        <v>103</v>
      </c>
      <c r="E35" s="1" t="s">
        <v>89</v>
      </c>
      <c r="F35" s="1" t="s">
        <v>36</v>
      </c>
      <c r="G35" s="1" t="s">
        <v>141</v>
      </c>
      <c r="H35" s="1">
        <v>1</v>
      </c>
      <c r="I35" s="1">
        <v>999</v>
      </c>
      <c r="J35" s="1">
        <v>999</v>
      </c>
      <c r="K35" s="1" t="s">
        <v>17</v>
      </c>
    </row>
    <row r="36" spans="1:11">
      <c r="A36" s="1" t="s">
        <v>147</v>
      </c>
      <c r="B36" s="1" t="s">
        <v>148</v>
      </c>
      <c r="C36" s="1" t="s">
        <v>149</v>
      </c>
      <c r="D36" s="1" t="s">
        <v>150</v>
      </c>
      <c r="E36" s="1" t="s">
        <v>73</v>
      </c>
      <c r="F36" s="1" t="s">
        <v>36</v>
      </c>
      <c r="G36" s="1" t="s">
        <v>151</v>
      </c>
      <c r="H36" s="1">
        <v>1</v>
      </c>
      <c r="I36" s="1">
        <v>799</v>
      </c>
      <c r="J36" s="1">
        <v>799</v>
      </c>
      <c r="K36" s="1" t="s">
        <v>17</v>
      </c>
    </row>
    <row r="37" spans="1:11">
      <c r="A37" s="1" t="s">
        <v>152</v>
      </c>
      <c r="B37" s="1" t="s">
        <v>153</v>
      </c>
      <c r="C37" s="1" t="s">
        <v>110</v>
      </c>
      <c r="D37" s="1" t="s">
        <v>111</v>
      </c>
      <c r="E37" s="1" t="s">
        <v>30</v>
      </c>
      <c r="F37" s="1" t="s">
        <v>15</v>
      </c>
      <c r="G37" s="1" t="s">
        <v>16</v>
      </c>
      <c r="H37" s="1">
        <v>3</v>
      </c>
      <c r="I37" s="1">
        <v>1999</v>
      </c>
      <c r="J37" s="1">
        <v>5997</v>
      </c>
      <c r="K37" s="1" t="s">
        <v>17</v>
      </c>
    </row>
    <row r="38" spans="1:11">
      <c r="A38" s="1" t="s">
        <v>154</v>
      </c>
      <c r="B38" s="3">
        <v>46111</v>
      </c>
      <c r="C38" s="1" t="s">
        <v>155</v>
      </c>
      <c r="D38" s="1" t="s">
        <v>156</v>
      </c>
      <c r="E38" s="1" t="s">
        <v>89</v>
      </c>
      <c r="F38" s="1" t="s">
        <v>47</v>
      </c>
      <c r="G38" s="1" t="s">
        <v>128</v>
      </c>
      <c r="H38" s="1">
        <v>2</v>
      </c>
      <c r="I38" s="1">
        <v>1199</v>
      </c>
      <c r="J38" s="1">
        <v>2398</v>
      </c>
      <c r="K38" s="1" t="s">
        <v>17</v>
      </c>
    </row>
    <row r="39" spans="1:11">
      <c r="A39" s="1" t="s">
        <v>157</v>
      </c>
      <c r="B39" s="3">
        <v>46122</v>
      </c>
      <c r="C39" s="1" t="s">
        <v>158</v>
      </c>
      <c r="D39" s="1" t="s">
        <v>144</v>
      </c>
      <c r="E39" s="1" t="s">
        <v>104</v>
      </c>
      <c r="F39" s="1" t="s">
        <v>25</v>
      </c>
      <c r="G39" s="1" t="s">
        <v>115</v>
      </c>
      <c r="H39" s="1">
        <v>1</v>
      </c>
      <c r="I39" s="1">
        <v>3999</v>
      </c>
      <c r="J39" s="1">
        <v>3999</v>
      </c>
      <c r="K39" s="1" t="s">
        <v>17</v>
      </c>
    </row>
    <row r="40" spans="1:11">
      <c r="A40" s="1" t="s">
        <v>159</v>
      </c>
      <c r="B40" s="3">
        <v>46078</v>
      </c>
      <c r="C40" s="1" t="s">
        <v>160</v>
      </c>
      <c r="D40" s="1" t="s">
        <v>161</v>
      </c>
      <c r="E40" s="1" t="s">
        <v>64</v>
      </c>
      <c r="F40" s="1" t="s">
        <v>15</v>
      </c>
      <c r="G40" s="1" t="s">
        <v>162</v>
      </c>
      <c r="H40" s="1">
        <v>2</v>
      </c>
      <c r="I40" s="1">
        <v>1599</v>
      </c>
      <c r="J40" s="1">
        <v>3198</v>
      </c>
      <c r="K40" s="1" t="s">
        <v>17</v>
      </c>
    </row>
    <row r="41" spans="1:11">
      <c r="A41" s="1" t="s">
        <v>163</v>
      </c>
      <c r="B41" s="3">
        <v>46071</v>
      </c>
      <c r="C41" s="1" t="s">
        <v>164</v>
      </c>
      <c r="D41" s="1" t="s">
        <v>165</v>
      </c>
      <c r="E41" s="1" t="s">
        <v>166</v>
      </c>
      <c r="F41" s="1" t="s">
        <v>36</v>
      </c>
      <c r="G41" s="1" t="s">
        <v>37</v>
      </c>
      <c r="H41" s="1">
        <v>1</v>
      </c>
      <c r="I41" s="1">
        <v>2299</v>
      </c>
      <c r="J41" s="1">
        <v>2299</v>
      </c>
      <c r="K41" s="1" t="s">
        <v>17</v>
      </c>
    </row>
    <row r="42" spans="1:11">
      <c r="A42" s="1" t="s">
        <v>167</v>
      </c>
      <c r="B42" s="3">
        <v>46178</v>
      </c>
      <c r="C42" s="1" t="s">
        <v>168</v>
      </c>
      <c r="D42" s="1" t="s">
        <v>169</v>
      </c>
      <c r="E42" s="1" t="s">
        <v>85</v>
      </c>
      <c r="F42" s="1" t="s">
        <v>47</v>
      </c>
      <c r="G42" s="1" t="s">
        <v>128</v>
      </c>
      <c r="H42" s="1">
        <v>1</v>
      </c>
      <c r="I42" s="1">
        <v>1199</v>
      </c>
      <c r="J42" s="1">
        <v>1199</v>
      </c>
      <c r="K42" s="1" t="s">
        <v>17</v>
      </c>
    </row>
    <row r="43" spans="1:11">
      <c r="A43" s="1" t="s">
        <v>170</v>
      </c>
      <c r="B43" s="3">
        <v>46115</v>
      </c>
      <c r="C43" s="1" t="s">
        <v>28</v>
      </c>
      <c r="D43" s="1" t="s">
        <v>29</v>
      </c>
      <c r="E43" s="1" t="s">
        <v>30</v>
      </c>
      <c r="F43" s="1" t="s">
        <v>15</v>
      </c>
      <c r="G43" s="1" t="s">
        <v>162</v>
      </c>
      <c r="H43" s="1">
        <v>1</v>
      </c>
      <c r="I43" s="1">
        <v>1599</v>
      </c>
      <c r="J43" s="1">
        <v>1599</v>
      </c>
      <c r="K43" s="1" t="s">
        <v>17</v>
      </c>
    </row>
    <row r="44" spans="1:11">
      <c r="A44" s="1" t="s">
        <v>171</v>
      </c>
      <c r="B44" s="3">
        <v>46202</v>
      </c>
      <c r="C44" s="1" t="s">
        <v>172</v>
      </c>
      <c r="D44" s="1" t="s">
        <v>173</v>
      </c>
      <c r="E44" s="1" t="s">
        <v>30</v>
      </c>
      <c r="F44" s="1" t="s">
        <v>47</v>
      </c>
      <c r="G44" s="1" t="s">
        <v>56</v>
      </c>
      <c r="H44" s="1">
        <v>1</v>
      </c>
      <c r="I44" s="1">
        <v>3499</v>
      </c>
      <c r="J44" s="1">
        <v>3499</v>
      </c>
      <c r="K44" s="1" t="s">
        <v>17</v>
      </c>
    </row>
    <row r="45" spans="1:11">
      <c r="A45" s="1" t="s">
        <v>174</v>
      </c>
      <c r="B45" s="3">
        <v>46127</v>
      </c>
      <c r="C45" s="1" t="s">
        <v>71</v>
      </c>
      <c r="D45" s="1" t="s">
        <v>72</v>
      </c>
      <c r="E45" s="1" t="s">
        <v>73</v>
      </c>
      <c r="F45" s="1" t="s">
        <v>22</v>
      </c>
      <c r="G45" s="1" t="s">
        <v>43</v>
      </c>
      <c r="H45" s="1">
        <v>1</v>
      </c>
      <c r="I45" s="1">
        <v>1499</v>
      </c>
      <c r="J45" s="1">
        <v>1499</v>
      </c>
      <c r="K45" s="1" t="s">
        <v>120</v>
      </c>
    </row>
    <row r="46" spans="1:11">
      <c r="A46" s="1" t="s">
        <v>175</v>
      </c>
      <c r="B46" s="3">
        <v>46100</v>
      </c>
      <c r="C46" s="1" t="s">
        <v>176</v>
      </c>
      <c r="D46" s="1" t="s">
        <v>177</v>
      </c>
      <c r="E46" s="1" t="s">
        <v>104</v>
      </c>
      <c r="F46" s="1" t="s">
        <v>15</v>
      </c>
      <c r="G46" s="1" t="s">
        <v>16</v>
      </c>
      <c r="H46" s="1">
        <v>3</v>
      </c>
      <c r="I46" s="1">
        <v>1999</v>
      </c>
      <c r="J46" s="1">
        <v>5997</v>
      </c>
      <c r="K46" s="1" t="s">
        <v>17</v>
      </c>
    </row>
    <row r="47" spans="1:11">
      <c r="A47" s="1" t="s">
        <v>178</v>
      </c>
      <c r="B47" s="3">
        <v>46109</v>
      </c>
      <c r="C47" s="1" t="s">
        <v>179</v>
      </c>
      <c r="D47" s="1" t="s">
        <v>180</v>
      </c>
      <c r="E47" s="1" t="s">
        <v>104</v>
      </c>
      <c r="F47" s="1" t="s">
        <v>181</v>
      </c>
      <c r="G47" s="1" t="s">
        <v>100</v>
      </c>
      <c r="H47" s="1">
        <v>1</v>
      </c>
      <c r="I47" s="1">
        <v>2799</v>
      </c>
      <c r="J47" s="1">
        <v>2799</v>
      </c>
      <c r="K47" s="1" t="s">
        <v>17</v>
      </c>
    </row>
    <row r="48" spans="1:11">
      <c r="A48" s="1" t="s">
        <v>182</v>
      </c>
      <c r="B48" s="3">
        <v>46194</v>
      </c>
      <c r="C48" s="1" t="s">
        <v>183</v>
      </c>
      <c r="D48" s="1" t="s">
        <v>184</v>
      </c>
      <c r="E48" s="1" t="s">
        <v>185</v>
      </c>
      <c r="F48" s="1" t="s">
        <v>47</v>
      </c>
      <c r="G48" s="1" t="s">
        <v>48</v>
      </c>
      <c r="H48" s="1">
        <v>1</v>
      </c>
      <c r="I48" s="1">
        <v>499</v>
      </c>
      <c r="J48" s="1">
        <v>499</v>
      </c>
      <c r="K48" s="1" t="s">
        <v>17</v>
      </c>
    </row>
    <row r="49" spans="1:11">
      <c r="A49" s="1" t="s">
        <v>186</v>
      </c>
      <c r="B49" s="3">
        <v>46188</v>
      </c>
      <c r="C49" s="1" t="s">
        <v>187</v>
      </c>
      <c r="D49" s="1" t="s">
        <v>46</v>
      </c>
      <c r="E49" s="1" t="s">
        <v>14</v>
      </c>
      <c r="F49" s="1" t="s">
        <v>15</v>
      </c>
      <c r="G49" s="1" t="s">
        <v>52</v>
      </c>
      <c r="H49" s="1">
        <v>1</v>
      </c>
      <c r="I49" s="1">
        <v>899</v>
      </c>
      <c r="J49" s="1">
        <v>899</v>
      </c>
      <c r="K49" s="1" t="s">
        <v>17</v>
      </c>
    </row>
    <row r="50" spans="1:11">
      <c r="A50" s="1" t="s">
        <v>188</v>
      </c>
      <c r="B50" s="3">
        <v>46043</v>
      </c>
      <c r="C50" s="1" t="s">
        <v>189</v>
      </c>
      <c r="D50" s="1" t="s">
        <v>190</v>
      </c>
      <c r="E50" s="1" t="s">
        <v>104</v>
      </c>
      <c r="F50" s="1" t="s">
        <v>47</v>
      </c>
      <c r="G50" s="1" t="s">
        <v>56</v>
      </c>
      <c r="H50" s="1">
        <v>1</v>
      </c>
      <c r="I50" s="1">
        <v>3499</v>
      </c>
      <c r="J50" s="1">
        <v>3499</v>
      </c>
      <c r="K50" s="1" t="s">
        <v>17</v>
      </c>
    </row>
    <row r="51" spans="1:11">
      <c r="A51" s="1" t="s">
        <v>191</v>
      </c>
      <c r="B51" s="3">
        <v>46116</v>
      </c>
      <c r="C51" s="1" t="s">
        <v>80</v>
      </c>
      <c r="D51" s="1" t="s">
        <v>81</v>
      </c>
      <c r="E51" s="1" t="s">
        <v>30</v>
      </c>
      <c r="F51" s="1" t="s">
        <v>36</v>
      </c>
      <c r="G51" s="1" t="s">
        <v>141</v>
      </c>
      <c r="H51" s="1">
        <v>1</v>
      </c>
      <c r="I51" s="1">
        <v>999</v>
      </c>
      <c r="J51" s="1">
        <v>999</v>
      </c>
      <c r="K51" s="1" t="s">
        <v>17</v>
      </c>
    </row>
    <row r="52" spans="1:11">
      <c r="A52" s="1" t="s">
        <v>192</v>
      </c>
      <c r="B52" s="3">
        <v>46113</v>
      </c>
      <c r="C52" s="1" t="s">
        <v>193</v>
      </c>
      <c r="D52" s="1" t="s">
        <v>194</v>
      </c>
      <c r="E52" s="1" t="s">
        <v>195</v>
      </c>
      <c r="F52" s="1" t="s">
        <v>42</v>
      </c>
      <c r="G52" s="1" t="s">
        <v>196</v>
      </c>
      <c r="H52" s="1">
        <v>1</v>
      </c>
      <c r="I52" s="1">
        <v>2499</v>
      </c>
      <c r="J52" s="1">
        <v>2499</v>
      </c>
      <c r="K52" s="1" t="s">
        <v>17</v>
      </c>
    </row>
    <row r="53" spans="1:11">
      <c r="A53" s="1" t="s">
        <v>197</v>
      </c>
      <c r="B53" s="3">
        <v>46030</v>
      </c>
      <c r="C53" s="1" t="s">
        <v>198</v>
      </c>
      <c r="D53" s="1" t="s">
        <v>88</v>
      </c>
      <c r="E53" s="1" t="s">
        <v>199</v>
      </c>
      <c r="F53" s="1" t="s">
        <v>22</v>
      </c>
      <c r="G53" s="1" t="s">
        <v>43</v>
      </c>
      <c r="H53" s="1">
        <v>2</v>
      </c>
      <c r="I53" s="1">
        <v>1499</v>
      </c>
      <c r="J53" s="1">
        <v>2998</v>
      </c>
      <c r="K53" s="1" t="s">
        <v>17</v>
      </c>
    </row>
    <row r="54" spans="1:11">
      <c r="A54" s="1" t="s">
        <v>200</v>
      </c>
      <c r="B54" s="3">
        <v>46098</v>
      </c>
      <c r="C54" s="1" t="s">
        <v>201</v>
      </c>
      <c r="D54" s="1" t="s">
        <v>202</v>
      </c>
      <c r="E54" s="1" t="s">
        <v>30</v>
      </c>
      <c r="F54" s="1" t="s">
        <v>47</v>
      </c>
      <c r="G54" s="1" t="s">
        <v>56</v>
      </c>
      <c r="H54" s="1">
        <v>1</v>
      </c>
      <c r="I54" s="1">
        <v>3499</v>
      </c>
      <c r="J54" s="1">
        <v>3499</v>
      </c>
      <c r="K54" s="1" t="s">
        <v>17</v>
      </c>
    </row>
    <row r="55" spans="1:11">
      <c r="A55" s="1" t="s">
        <v>203</v>
      </c>
      <c r="B55" s="3">
        <v>46190</v>
      </c>
      <c r="C55" s="1" t="s">
        <v>204</v>
      </c>
      <c r="D55" s="1" t="s">
        <v>205</v>
      </c>
      <c r="E55" s="1" t="s">
        <v>64</v>
      </c>
      <c r="F55" s="1" t="s">
        <v>15</v>
      </c>
      <c r="G55" s="1" t="s">
        <v>16</v>
      </c>
      <c r="H55" s="1">
        <v>1</v>
      </c>
      <c r="I55" s="1">
        <v>1999</v>
      </c>
      <c r="J55" s="1">
        <v>1999</v>
      </c>
      <c r="K55" s="1" t="s">
        <v>17</v>
      </c>
    </row>
    <row r="56" spans="1:11">
      <c r="A56" s="1" t="s">
        <v>206</v>
      </c>
      <c r="B56" s="3">
        <v>46174</v>
      </c>
      <c r="C56" s="1" t="s">
        <v>207</v>
      </c>
      <c r="D56" s="1" t="s">
        <v>208</v>
      </c>
      <c r="E56" s="1" t="s">
        <v>64</v>
      </c>
      <c r="F56" s="1" t="s">
        <v>22</v>
      </c>
      <c r="G56" s="1" t="s">
        <v>43</v>
      </c>
      <c r="H56" s="1">
        <v>1</v>
      </c>
      <c r="I56" s="1">
        <v>1499</v>
      </c>
      <c r="J56" s="1">
        <v>1499</v>
      </c>
      <c r="K56" s="1" t="s">
        <v>17</v>
      </c>
    </row>
    <row r="57" spans="1:11">
      <c r="A57" s="1" t="s">
        <v>209</v>
      </c>
      <c r="B57" s="3">
        <v>46107</v>
      </c>
      <c r="C57" s="1" t="s">
        <v>210</v>
      </c>
      <c r="D57" s="1" t="s">
        <v>211</v>
      </c>
      <c r="E57" s="1" t="s">
        <v>14</v>
      </c>
      <c r="F57" s="1" t="s">
        <v>47</v>
      </c>
      <c r="G57" s="1" t="s">
        <v>48</v>
      </c>
      <c r="H57" s="1">
        <v>1</v>
      </c>
      <c r="I57" s="1">
        <v>499</v>
      </c>
      <c r="J57" s="1">
        <v>499</v>
      </c>
      <c r="K57" s="1" t="s">
        <v>17</v>
      </c>
    </row>
    <row r="58" spans="1:11">
      <c r="A58" s="1" t="s">
        <v>212</v>
      </c>
      <c r="B58" s="3">
        <v>46040</v>
      </c>
      <c r="C58" s="1" t="s">
        <v>98</v>
      </c>
      <c r="D58" s="1" t="s">
        <v>99</v>
      </c>
      <c r="E58" s="1" t="s">
        <v>96</v>
      </c>
      <c r="F58" s="1" t="s">
        <v>22</v>
      </c>
      <c r="G58" s="1" t="s">
        <v>196</v>
      </c>
      <c r="H58" s="1">
        <v>1</v>
      </c>
      <c r="I58" s="1">
        <v>2499</v>
      </c>
      <c r="J58" s="1">
        <v>2499</v>
      </c>
      <c r="K58" s="1" t="s">
        <v>17</v>
      </c>
    </row>
    <row r="59" spans="1:11">
      <c r="A59" s="1" t="s">
        <v>132</v>
      </c>
      <c r="B59" s="3">
        <v>46124</v>
      </c>
      <c r="C59" s="1" t="s">
        <v>133</v>
      </c>
      <c r="D59" s="1" t="s">
        <v>134</v>
      </c>
      <c r="E59" s="1" t="s">
        <v>104</v>
      </c>
      <c r="F59" s="1" t="s">
        <v>22</v>
      </c>
      <c r="G59" s="1" t="s">
        <v>43</v>
      </c>
      <c r="H59" s="1">
        <v>1</v>
      </c>
      <c r="I59" s="1">
        <v>1499</v>
      </c>
      <c r="J59" s="1">
        <v>-1499</v>
      </c>
      <c r="K59" s="1" t="s">
        <v>17</v>
      </c>
    </row>
    <row r="60" spans="1:11">
      <c r="A60" s="1" t="s">
        <v>213</v>
      </c>
      <c r="B60" s="3">
        <v>46024</v>
      </c>
      <c r="C60" s="1" t="s">
        <v>75</v>
      </c>
      <c r="D60" s="1" t="s">
        <v>76</v>
      </c>
      <c r="E60" s="1" t="s">
        <v>214</v>
      </c>
      <c r="F60" s="1" t="s">
        <v>15</v>
      </c>
      <c r="G60" s="1" t="s">
        <v>162</v>
      </c>
      <c r="H60" s="1">
        <v>1</v>
      </c>
      <c r="I60" s="1">
        <v>1599</v>
      </c>
      <c r="J60" s="1">
        <v>1599</v>
      </c>
      <c r="K60" s="1" t="s">
        <v>17</v>
      </c>
    </row>
    <row r="61" spans="1:11">
      <c r="A61" s="1" t="s">
        <v>116</v>
      </c>
      <c r="B61" s="3">
        <v>46072</v>
      </c>
      <c r="C61" s="1" t="s">
        <v>117</v>
      </c>
      <c r="D61" s="1" t="s">
        <v>118</v>
      </c>
      <c r="E61" s="1" t="s">
        <v>119</v>
      </c>
      <c r="F61" s="1" t="s">
        <v>36</v>
      </c>
      <c r="G61" s="1" t="s">
        <v>37</v>
      </c>
      <c r="H61" s="1">
        <v>3</v>
      </c>
      <c r="I61" s="1">
        <v>2299</v>
      </c>
      <c r="J61" s="1">
        <v>6897</v>
      </c>
      <c r="K61" s="1" t="s">
        <v>120</v>
      </c>
    </row>
    <row r="62" spans="1:11">
      <c r="A62" s="1" t="s">
        <v>215</v>
      </c>
      <c r="B62" s="3">
        <v>46080</v>
      </c>
      <c r="C62" s="1" t="s">
        <v>216</v>
      </c>
      <c r="D62" s="1" t="s">
        <v>202</v>
      </c>
      <c r="E62" s="1" t="s">
        <v>217</v>
      </c>
      <c r="F62" s="1" t="s">
        <v>36</v>
      </c>
      <c r="G62" s="1" t="s">
        <v>141</v>
      </c>
      <c r="H62" s="1">
        <v>2</v>
      </c>
      <c r="I62" s="1">
        <v>999</v>
      </c>
      <c r="J62" s="1">
        <v>-1998</v>
      </c>
      <c r="K62" s="1" t="s">
        <v>17</v>
      </c>
    </row>
    <row r="63" spans="1:11">
      <c r="A63" s="1" t="s">
        <v>218</v>
      </c>
      <c r="B63" s="3">
        <v>46104</v>
      </c>
      <c r="C63" s="1" t="s">
        <v>204</v>
      </c>
      <c r="D63" s="1" t="s">
        <v>205</v>
      </c>
      <c r="E63" s="1" t="s">
        <v>64</v>
      </c>
      <c r="F63" s="1" t="s">
        <v>219</v>
      </c>
      <c r="G63" s="1" t="s">
        <v>196</v>
      </c>
      <c r="H63" s="1">
        <v>1</v>
      </c>
      <c r="I63" s="1">
        <v>2499</v>
      </c>
      <c r="J63" s="1">
        <v>2499</v>
      </c>
      <c r="K63" s="1" t="s">
        <v>220</v>
      </c>
    </row>
    <row r="64" spans="1:11">
      <c r="A64" s="1" t="s">
        <v>221</v>
      </c>
      <c r="B64" s="3">
        <v>46151</v>
      </c>
      <c r="C64" s="1" t="s">
        <v>149</v>
      </c>
      <c r="D64" s="1" t="s">
        <v>150</v>
      </c>
      <c r="E64" s="1" t="s">
        <v>73</v>
      </c>
      <c r="F64" s="1" t="s">
        <v>36</v>
      </c>
      <c r="G64" s="1" t="s">
        <v>141</v>
      </c>
      <c r="H64" s="1">
        <v>1</v>
      </c>
      <c r="I64" s="1">
        <v>999</v>
      </c>
      <c r="J64" s="1">
        <v>999</v>
      </c>
      <c r="K64" s="1" t="s">
        <v>222</v>
      </c>
    </row>
    <row r="65" spans="1:11">
      <c r="A65" s="1" t="s">
        <v>223</v>
      </c>
      <c r="B65" s="3">
        <v>46145</v>
      </c>
      <c r="C65" s="1" t="s">
        <v>143</v>
      </c>
      <c r="D65" s="1" t="s">
        <v>144</v>
      </c>
      <c r="E65" s="1" t="s">
        <v>14</v>
      </c>
      <c r="F65" s="1" t="s">
        <v>224</v>
      </c>
      <c r="G65" s="1" t="s">
        <v>31</v>
      </c>
      <c r="H65" s="1">
        <v>1</v>
      </c>
      <c r="I65" s="1">
        <v>1799</v>
      </c>
      <c r="J65" s="1">
        <v>1799</v>
      </c>
      <c r="K65" s="1" t="s">
        <v>17</v>
      </c>
    </row>
    <row r="66" spans="1:11">
      <c r="A66" s="1" t="s">
        <v>225</v>
      </c>
      <c r="B66" s="3">
        <v>46203</v>
      </c>
      <c r="C66" s="1" t="s">
        <v>226</v>
      </c>
      <c r="D66" s="1" t="s">
        <v>227</v>
      </c>
      <c r="E66" s="1" t="s">
        <v>30</v>
      </c>
      <c r="F66" s="1" t="s">
        <v>15</v>
      </c>
      <c r="G66" s="1" t="s">
        <v>162</v>
      </c>
      <c r="H66" s="1">
        <v>1</v>
      </c>
      <c r="I66" s="1">
        <v>1599</v>
      </c>
      <c r="J66" s="1">
        <v>1599</v>
      </c>
      <c r="K66" s="1" t="s">
        <v>17</v>
      </c>
    </row>
    <row r="67" spans="1:11">
      <c r="A67" s="1" t="s">
        <v>228</v>
      </c>
      <c r="B67" s="3">
        <v>46086</v>
      </c>
      <c r="C67" s="1" t="s">
        <v>201</v>
      </c>
      <c r="D67" s="1" t="s">
        <v>202</v>
      </c>
      <c r="E67" s="1" t="s">
        <v>229</v>
      </c>
      <c r="F67" s="1" t="s">
        <v>25</v>
      </c>
      <c r="G67" s="1" t="s">
        <v>26</v>
      </c>
      <c r="H67" s="1">
        <v>1</v>
      </c>
      <c r="I67" s="1">
        <v>1299</v>
      </c>
      <c r="J67" s="1">
        <v>1299</v>
      </c>
      <c r="K67" s="1" t="s">
        <v>222</v>
      </c>
    </row>
    <row r="68" spans="1:11">
      <c r="A68" s="1" t="s">
        <v>230</v>
      </c>
      <c r="B68" s="3">
        <v>46176</v>
      </c>
      <c r="C68" s="1" t="s">
        <v>146</v>
      </c>
      <c r="D68" s="1" t="s">
        <v>103</v>
      </c>
      <c r="E68" s="1" t="s">
        <v>89</v>
      </c>
      <c r="F68" s="1" t="s">
        <v>22</v>
      </c>
      <c r="G68" s="1" t="s">
        <v>43</v>
      </c>
      <c r="H68" s="1">
        <v>1</v>
      </c>
      <c r="I68" s="1">
        <v>1499</v>
      </c>
      <c r="J68" s="1">
        <v>1499</v>
      </c>
      <c r="K68" s="1" t="s">
        <v>17</v>
      </c>
    </row>
    <row r="69" spans="1:11">
      <c r="A69" s="1" t="s">
        <v>231</v>
      </c>
      <c r="B69" s="3">
        <v>46088</v>
      </c>
      <c r="C69" s="1" t="s">
        <v>232</v>
      </c>
      <c r="D69" s="1" t="s">
        <v>107</v>
      </c>
      <c r="E69" s="1" t="s">
        <v>73</v>
      </c>
      <c r="F69" s="1" t="s">
        <v>47</v>
      </c>
      <c r="G69" s="1" t="s">
        <v>48</v>
      </c>
      <c r="H69" s="1">
        <v>1</v>
      </c>
      <c r="I69" s="1">
        <v>499</v>
      </c>
      <c r="J69" s="1" t="s">
        <v>233</v>
      </c>
      <c r="K69" s="1" t="s">
        <v>17</v>
      </c>
    </row>
    <row r="70" spans="1:11">
      <c r="A70" s="1" t="s">
        <v>234</v>
      </c>
      <c r="B70" s="3">
        <v>46140</v>
      </c>
      <c r="C70" s="1" t="s">
        <v>235</v>
      </c>
      <c r="D70" s="1" t="s">
        <v>205</v>
      </c>
      <c r="E70" s="1" t="s">
        <v>236</v>
      </c>
      <c r="F70" s="1" t="s">
        <v>15</v>
      </c>
      <c r="G70" s="1" t="s">
        <v>162</v>
      </c>
      <c r="H70" s="1">
        <v>1</v>
      </c>
      <c r="I70" s="1">
        <v>1599</v>
      </c>
      <c r="J70" s="1">
        <v>1599</v>
      </c>
      <c r="K70" s="1" t="s">
        <v>38</v>
      </c>
    </row>
    <row r="71" spans="1:11">
      <c r="A71" s="1" t="s">
        <v>237</v>
      </c>
      <c r="B71" s="3">
        <v>46140</v>
      </c>
      <c r="C71" s="1" t="s">
        <v>238</v>
      </c>
      <c r="D71" s="1" t="s">
        <v>140</v>
      </c>
      <c r="E71" s="1" t="s">
        <v>239</v>
      </c>
      <c r="F71" s="1" t="s">
        <v>22</v>
      </c>
      <c r="G71" s="1" t="s">
        <v>196</v>
      </c>
      <c r="H71" s="1">
        <v>1</v>
      </c>
      <c r="I71" s="1">
        <v>2499</v>
      </c>
      <c r="J71" s="1">
        <v>2499</v>
      </c>
      <c r="K71" s="1" t="s">
        <v>17</v>
      </c>
    </row>
    <row r="72" spans="1:11">
      <c r="A72" s="1" t="s">
        <v>240</v>
      </c>
      <c r="B72" s="3">
        <v>46115</v>
      </c>
      <c r="C72" s="1" t="s">
        <v>241</v>
      </c>
      <c r="D72" s="1" t="s">
        <v>242</v>
      </c>
      <c r="E72" s="1" t="s">
        <v>89</v>
      </c>
      <c r="F72" s="1" t="s">
        <v>22</v>
      </c>
      <c r="G72" s="1" t="s">
        <v>23</v>
      </c>
      <c r="H72" s="1">
        <v>1</v>
      </c>
      <c r="I72" s="1">
        <v>3299</v>
      </c>
      <c r="J72" s="1">
        <v>3299</v>
      </c>
      <c r="K72" s="1" t="s">
        <v>17</v>
      </c>
    </row>
    <row r="73" spans="1:11">
      <c r="A73" s="1" t="s">
        <v>243</v>
      </c>
      <c r="B73" s="3">
        <v>46184</v>
      </c>
      <c r="C73" s="1" t="s">
        <v>244</v>
      </c>
      <c r="D73" s="1" t="s">
        <v>245</v>
      </c>
      <c r="E73" s="1" t="s">
        <v>21</v>
      </c>
      <c r="F73" s="1" t="s">
        <v>15</v>
      </c>
      <c r="G73" s="1" t="s">
        <v>162</v>
      </c>
      <c r="H73" s="1">
        <v>1</v>
      </c>
      <c r="I73" s="1">
        <v>1599</v>
      </c>
      <c r="J73" s="1">
        <v>1599</v>
      </c>
      <c r="K73" s="1" t="s">
        <v>17</v>
      </c>
    </row>
    <row r="74" spans="1:11">
      <c r="A74" s="1" t="s">
        <v>246</v>
      </c>
      <c r="B74" s="3">
        <v>46202</v>
      </c>
      <c r="C74" s="1" t="s">
        <v>50</v>
      </c>
      <c r="D74" s="1" t="s">
        <v>51</v>
      </c>
      <c r="E74" s="1" t="s">
        <v>247</v>
      </c>
      <c r="F74" s="1" t="s">
        <v>47</v>
      </c>
      <c r="G74" s="1" t="s">
        <v>128</v>
      </c>
      <c r="H74" s="1">
        <v>2</v>
      </c>
      <c r="I74" s="1">
        <v>1199</v>
      </c>
      <c r="J74" s="1">
        <v>2398</v>
      </c>
      <c r="K74" s="1" t="s">
        <v>17</v>
      </c>
    </row>
    <row r="75" spans="1:11">
      <c r="A75" s="1" t="s">
        <v>248</v>
      </c>
      <c r="B75" s="3">
        <v>46047</v>
      </c>
      <c r="C75" s="1" t="s">
        <v>249</v>
      </c>
      <c r="D75" s="1" t="s">
        <v>250</v>
      </c>
      <c r="E75" s="1" t="s">
        <v>217</v>
      </c>
      <c r="F75" s="1" t="s">
        <v>36</v>
      </c>
      <c r="G75" s="1" t="s">
        <v>37</v>
      </c>
      <c r="H75" s="1">
        <v>1</v>
      </c>
      <c r="I75" s="1">
        <v>2299</v>
      </c>
      <c r="J75" s="1">
        <v>2299</v>
      </c>
      <c r="K75" s="1" t="s">
        <v>17</v>
      </c>
    </row>
    <row r="76" spans="1:11">
      <c r="A76" s="1" t="s">
        <v>251</v>
      </c>
      <c r="B76" s="3">
        <v>46136</v>
      </c>
      <c r="C76" s="1" t="s">
        <v>252</v>
      </c>
      <c r="D76" s="1" t="s">
        <v>253</v>
      </c>
      <c r="E76" s="1" t="s">
        <v>104</v>
      </c>
      <c r="F76" s="1" t="s">
        <v>36</v>
      </c>
      <c r="G76" s="1" t="s">
        <v>141</v>
      </c>
      <c r="H76" s="1">
        <v>1</v>
      </c>
      <c r="I76" s="1">
        <v>999</v>
      </c>
      <c r="J76" s="1">
        <v>999</v>
      </c>
      <c r="K76" s="1" t="s">
        <v>17</v>
      </c>
    </row>
    <row r="77" spans="1:11">
      <c r="A77" s="1" t="s">
        <v>254</v>
      </c>
      <c r="B77" s="3">
        <v>46202</v>
      </c>
      <c r="C77" s="1" t="s">
        <v>255</v>
      </c>
      <c r="D77" s="1" t="s">
        <v>256</v>
      </c>
      <c r="E77" s="1" t="s">
        <v>64</v>
      </c>
      <c r="F77" s="1" t="s">
        <v>47</v>
      </c>
      <c r="G77" s="1" t="s">
        <v>100</v>
      </c>
      <c r="H77" s="1">
        <v>2</v>
      </c>
      <c r="I77" s="1">
        <v>2799</v>
      </c>
      <c r="J77" s="1">
        <v>5598</v>
      </c>
      <c r="K77" s="1" t="s">
        <v>17</v>
      </c>
    </row>
    <row r="78" spans="1:11">
      <c r="A78" s="1" t="s">
        <v>257</v>
      </c>
      <c r="B78" s="3">
        <v>46028</v>
      </c>
      <c r="C78" s="1" t="s">
        <v>258</v>
      </c>
      <c r="D78" s="1" t="s">
        <v>259</v>
      </c>
      <c r="E78" s="1" t="s">
        <v>14</v>
      </c>
      <c r="F78" s="1" t="s">
        <v>22</v>
      </c>
      <c r="G78" s="1" t="s">
        <v>43</v>
      </c>
      <c r="H78" s="1">
        <v>1</v>
      </c>
      <c r="I78" s="1">
        <v>1499</v>
      </c>
      <c r="J78" s="1">
        <v>1499</v>
      </c>
      <c r="K78" s="1" t="s">
        <v>17</v>
      </c>
    </row>
    <row r="79" spans="1:11">
      <c r="A79" s="1" t="s">
        <v>260</v>
      </c>
      <c r="B79" s="3">
        <v>46110</v>
      </c>
      <c r="C79" s="1" t="s">
        <v>261</v>
      </c>
      <c r="D79" s="1" t="s">
        <v>262</v>
      </c>
      <c r="E79" s="1" t="s">
        <v>64</v>
      </c>
      <c r="F79" s="1" t="s">
        <v>25</v>
      </c>
      <c r="G79" s="1" t="s">
        <v>31</v>
      </c>
      <c r="H79" s="1">
        <v>1</v>
      </c>
      <c r="I79" s="1">
        <v>1799</v>
      </c>
      <c r="J79" s="1">
        <v>1799</v>
      </c>
      <c r="K79" s="1" t="s">
        <v>17</v>
      </c>
    </row>
    <row r="80" spans="1:11">
      <c r="A80" s="1" t="s">
        <v>263</v>
      </c>
      <c r="B80" s="3">
        <v>46059</v>
      </c>
      <c r="C80" s="1" t="s">
        <v>264</v>
      </c>
      <c r="D80" s="1" t="s">
        <v>265</v>
      </c>
      <c r="E80" s="1" t="s">
        <v>217</v>
      </c>
      <c r="F80" s="1" t="s">
        <v>266</v>
      </c>
      <c r="G80" s="1" t="s">
        <v>56</v>
      </c>
      <c r="H80" s="1">
        <v>1</v>
      </c>
      <c r="I80" s="1">
        <v>3499</v>
      </c>
      <c r="J80" s="1">
        <v>3499</v>
      </c>
      <c r="K80" s="1" t="s">
        <v>220</v>
      </c>
    </row>
    <row r="81" spans="1:11">
      <c r="A81" s="1" t="s">
        <v>267</v>
      </c>
      <c r="B81" s="3">
        <v>46120</v>
      </c>
      <c r="C81" s="1" t="s">
        <v>268</v>
      </c>
      <c r="D81" s="1" t="s">
        <v>269</v>
      </c>
      <c r="E81" s="1" t="s">
        <v>21</v>
      </c>
      <c r="F81" s="1" t="s">
        <v>15</v>
      </c>
      <c r="G81" s="1" t="s">
        <v>16</v>
      </c>
      <c r="H81" s="1">
        <v>2</v>
      </c>
      <c r="I81" s="1">
        <v>1999</v>
      </c>
      <c r="J81" s="1">
        <v>3998</v>
      </c>
      <c r="K81" s="1" t="s">
        <v>17</v>
      </c>
    </row>
    <row r="82" spans="1:11">
      <c r="A82" s="1" t="s">
        <v>270</v>
      </c>
      <c r="B82" s="3">
        <v>46180</v>
      </c>
      <c r="C82" s="1" t="s">
        <v>271</v>
      </c>
      <c r="D82" s="1" t="s">
        <v>272</v>
      </c>
      <c r="E82" s="1" t="s">
        <v>64</v>
      </c>
      <c r="F82" s="1" t="s">
        <v>22</v>
      </c>
      <c r="G82" s="1" t="s">
        <v>196</v>
      </c>
      <c r="H82" s="1">
        <v>1</v>
      </c>
      <c r="I82" s="1">
        <v>2499</v>
      </c>
      <c r="J82" s="1">
        <v>2499</v>
      </c>
      <c r="K82" s="1" t="s">
        <v>222</v>
      </c>
    </row>
    <row r="83" spans="1:11">
      <c r="A83" s="1" t="s">
        <v>273</v>
      </c>
      <c r="B83" s="3">
        <v>46103</v>
      </c>
      <c r="C83" s="1"/>
      <c r="D83" s="1" t="s">
        <v>88</v>
      </c>
      <c r="E83" s="1" t="s">
        <v>30</v>
      </c>
      <c r="F83" s="1" t="s">
        <v>36</v>
      </c>
      <c r="G83" s="1" t="s">
        <v>151</v>
      </c>
      <c r="H83" s="1">
        <v>1</v>
      </c>
      <c r="I83" s="1">
        <v>799</v>
      </c>
      <c r="J83" s="1">
        <v>799</v>
      </c>
      <c r="K83" s="1" t="s">
        <v>17</v>
      </c>
    </row>
    <row r="84" spans="1:11">
      <c r="A84" s="1" t="s">
        <v>274</v>
      </c>
      <c r="B84" s="3">
        <v>46119</v>
      </c>
      <c r="C84" s="1" t="s">
        <v>275</v>
      </c>
      <c r="D84" s="1" t="s">
        <v>123</v>
      </c>
      <c r="E84" s="1" t="s">
        <v>89</v>
      </c>
      <c r="F84" s="1" t="s">
        <v>15</v>
      </c>
      <c r="G84" s="1" t="s">
        <v>16</v>
      </c>
      <c r="H84" s="1">
        <v>2</v>
      </c>
      <c r="I84" s="1">
        <v>1999</v>
      </c>
      <c r="J84" s="1">
        <v>3998</v>
      </c>
      <c r="K84" s="1" t="s">
        <v>17</v>
      </c>
    </row>
    <row r="85" spans="1:11">
      <c r="A85" s="1" t="s">
        <v>276</v>
      </c>
      <c r="B85" s="3">
        <v>46169</v>
      </c>
      <c r="C85" s="1" t="s">
        <v>176</v>
      </c>
      <c r="D85" s="1" t="s">
        <v>177</v>
      </c>
      <c r="E85" s="1" t="s">
        <v>277</v>
      </c>
      <c r="F85" s="1" t="s">
        <v>15</v>
      </c>
      <c r="G85" s="1" t="s">
        <v>52</v>
      </c>
      <c r="H85" s="1">
        <v>1</v>
      </c>
      <c r="I85" s="1">
        <v>899</v>
      </c>
      <c r="J85" s="1">
        <v>899</v>
      </c>
      <c r="K85" s="1" t="s">
        <v>38</v>
      </c>
    </row>
    <row r="86" spans="1:11">
      <c r="A86" s="1" t="s">
        <v>278</v>
      </c>
      <c r="B86" s="3">
        <v>46085</v>
      </c>
      <c r="C86" s="1" t="s">
        <v>28</v>
      </c>
      <c r="D86" s="1" t="s">
        <v>29</v>
      </c>
      <c r="E86" s="1" t="s">
        <v>30</v>
      </c>
      <c r="F86" s="1" t="s">
        <v>47</v>
      </c>
      <c r="G86" s="1" t="s">
        <v>100</v>
      </c>
      <c r="H86" s="1">
        <v>1</v>
      </c>
      <c r="I86" s="1">
        <v>2799</v>
      </c>
      <c r="J86" s="1">
        <v>2799</v>
      </c>
      <c r="K86" s="1" t="s">
        <v>222</v>
      </c>
    </row>
    <row r="87" spans="1:11">
      <c r="A87" s="1" t="s">
        <v>279</v>
      </c>
      <c r="B87" s="3">
        <v>46099</v>
      </c>
      <c r="C87" s="1" t="s">
        <v>280</v>
      </c>
      <c r="D87" s="1" t="s">
        <v>281</v>
      </c>
      <c r="E87" s="1" t="s">
        <v>217</v>
      </c>
      <c r="F87" s="1" t="s">
        <v>25</v>
      </c>
      <c r="G87" s="1" t="s">
        <v>31</v>
      </c>
      <c r="H87" s="1">
        <v>2</v>
      </c>
      <c r="I87" s="1">
        <v>1799</v>
      </c>
      <c r="J87" s="1">
        <v>3598</v>
      </c>
      <c r="K87" s="1" t="s">
        <v>17</v>
      </c>
    </row>
    <row r="88" spans="1:11">
      <c r="A88" s="1" t="s">
        <v>282</v>
      </c>
      <c r="B88" s="3">
        <v>46041</v>
      </c>
      <c r="C88" s="1" t="s">
        <v>283</v>
      </c>
      <c r="D88" s="1" t="s">
        <v>227</v>
      </c>
      <c r="E88" s="1" t="s">
        <v>104</v>
      </c>
      <c r="F88" s="1" t="s">
        <v>36</v>
      </c>
      <c r="G88" s="1" t="s">
        <v>141</v>
      </c>
      <c r="H88" s="1">
        <v>1</v>
      </c>
      <c r="I88" s="1">
        <v>999</v>
      </c>
      <c r="J88" s="1">
        <v>999</v>
      </c>
      <c r="K88" s="1" t="s">
        <v>17</v>
      </c>
    </row>
    <row r="89" spans="1:11">
      <c r="A89" s="1" t="s">
        <v>284</v>
      </c>
      <c r="B89" s="3">
        <v>46041</v>
      </c>
      <c r="C89" s="1" t="s">
        <v>285</v>
      </c>
      <c r="D89" s="1" t="s">
        <v>286</v>
      </c>
      <c r="E89" s="1" t="s">
        <v>73</v>
      </c>
      <c r="F89" s="1" t="s">
        <v>25</v>
      </c>
      <c r="G89" s="1" t="s">
        <v>69</v>
      </c>
      <c r="H89" s="1">
        <v>1</v>
      </c>
      <c r="I89" s="1">
        <v>2199</v>
      </c>
      <c r="J89" s="1">
        <v>2199</v>
      </c>
      <c r="K89" s="1" t="s">
        <v>17</v>
      </c>
    </row>
    <row r="90" spans="1:11">
      <c r="A90" s="1" t="s">
        <v>287</v>
      </c>
      <c r="B90" s="3">
        <v>46173</v>
      </c>
      <c r="C90" s="1" t="s">
        <v>288</v>
      </c>
      <c r="D90" s="1" t="s">
        <v>289</v>
      </c>
      <c r="E90" s="1" t="s">
        <v>14</v>
      </c>
      <c r="F90" s="1" t="s">
        <v>15</v>
      </c>
      <c r="G90" s="1" t="s">
        <v>16</v>
      </c>
      <c r="H90" s="1">
        <v>1</v>
      </c>
      <c r="I90" s="1">
        <v>1999</v>
      </c>
      <c r="J90" s="1">
        <v>1999</v>
      </c>
      <c r="K90" s="1" t="s">
        <v>17</v>
      </c>
    </row>
    <row r="91" spans="1:11">
      <c r="A91" s="1" t="s">
        <v>290</v>
      </c>
      <c r="B91" s="3">
        <v>46094</v>
      </c>
      <c r="C91" s="1" t="s">
        <v>291</v>
      </c>
      <c r="D91" s="1" t="s">
        <v>292</v>
      </c>
      <c r="E91" s="1" t="s">
        <v>14</v>
      </c>
      <c r="F91" s="1" t="s">
        <v>36</v>
      </c>
      <c r="G91" s="1" t="s">
        <v>37</v>
      </c>
      <c r="H91" s="1">
        <v>1</v>
      </c>
      <c r="I91" s="1">
        <v>2299</v>
      </c>
      <c r="J91" s="1">
        <v>2299</v>
      </c>
      <c r="K91" s="1" t="s">
        <v>17</v>
      </c>
    </row>
    <row r="92" spans="1:11">
      <c r="A92" s="1" t="s">
        <v>293</v>
      </c>
      <c r="B92" s="3">
        <v>46141</v>
      </c>
      <c r="C92" s="1" t="s">
        <v>28</v>
      </c>
      <c r="D92" s="1" t="s">
        <v>29</v>
      </c>
      <c r="E92" s="1" t="s">
        <v>30</v>
      </c>
      <c r="F92" s="1" t="s">
        <v>36</v>
      </c>
      <c r="G92" s="1" t="s">
        <v>141</v>
      </c>
      <c r="H92" s="1">
        <v>1</v>
      </c>
      <c r="I92" s="1">
        <v>999</v>
      </c>
      <c r="J92" s="1">
        <v>999</v>
      </c>
      <c r="K92" s="1" t="s">
        <v>220</v>
      </c>
    </row>
    <row r="93" spans="1:11">
      <c r="A93" s="1" t="s">
        <v>294</v>
      </c>
      <c r="B93" s="3">
        <v>46109</v>
      </c>
      <c r="C93" s="1" t="s">
        <v>295</v>
      </c>
      <c r="D93" s="1" t="s">
        <v>296</v>
      </c>
      <c r="E93" s="1" t="s">
        <v>30</v>
      </c>
      <c r="F93" s="1" t="s">
        <v>25</v>
      </c>
      <c r="G93" s="1" t="s">
        <v>31</v>
      </c>
      <c r="H93" s="1">
        <v>1</v>
      </c>
      <c r="I93" s="1">
        <v>1799</v>
      </c>
      <c r="J93" s="1">
        <v>1799</v>
      </c>
      <c r="K93" s="1" t="s">
        <v>17</v>
      </c>
    </row>
    <row r="94" spans="1:11">
      <c r="A94" s="1" t="s">
        <v>297</v>
      </c>
      <c r="B94" s="3">
        <v>46108</v>
      </c>
      <c r="C94" s="1" t="s">
        <v>58</v>
      </c>
      <c r="D94" s="1" t="s">
        <v>59</v>
      </c>
      <c r="E94" s="1" t="s">
        <v>14</v>
      </c>
      <c r="F94" s="1" t="s">
        <v>25</v>
      </c>
      <c r="G94" s="1" t="s">
        <v>31</v>
      </c>
      <c r="H94" s="1">
        <v>2</v>
      </c>
      <c r="I94" s="1">
        <v>1799</v>
      </c>
      <c r="J94" s="1">
        <v>3598</v>
      </c>
      <c r="K94" s="1" t="s">
        <v>17</v>
      </c>
    </row>
    <row r="95" spans="1:11">
      <c r="A95" s="1" t="s">
        <v>298</v>
      </c>
      <c r="B95" s="3">
        <v>46196</v>
      </c>
      <c r="C95" s="1" t="s">
        <v>299</v>
      </c>
      <c r="D95" s="1" t="s">
        <v>300</v>
      </c>
      <c r="E95" s="1" t="s">
        <v>104</v>
      </c>
      <c r="F95" s="1" t="s">
        <v>22</v>
      </c>
      <c r="G95" s="1" t="s">
        <v>196</v>
      </c>
      <c r="H95" s="1">
        <v>1</v>
      </c>
      <c r="I95" s="1">
        <v>2499</v>
      </c>
      <c r="J95" s="1">
        <v>2499</v>
      </c>
      <c r="K95" s="1" t="s">
        <v>17</v>
      </c>
    </row>
    <row r="96" spans="1:11">
      <c r="A96" s="1" t="s">
        <v>301</v>
      </c>
      <c r="B96" s="3">
        <v>46179</v>
      </c>
      <c r="C96" s="1" t="s">
        <v>176</v>
      </c>
      <c r="D96" s="1" t="s">
        <v>302</v>
      </c>
      <c r="E96" s="1" t="s">
        <v>104</v>
      </c>
      <c r="F96" s="1" t="s">
        <v>25</v>
      </c>
      <c r="G96" s="1" t="s">
        <v>26</v>
      </c>
      <c r="H96" s="1">
        <v>2</v>
      </c>
      <c r="I96" s="1">
        <v>1299</v>
      </c>
      <c r="J96" s="1">
        <v>2598</v>
      </c>
      <c r="K96" s="1" t="s">
        <v>17</v>
      </c>
    </row>
    <row r="97" spans="1:11">
      <c r="A97" s="1" t="s">
        <v>303</v>
      </c>
      <c r="B97" s="3">
        <v>46129</v>
      </c>
      <c r="C97" s="1" t="s">
        <v>304</v>
      </c>
      <c r="D97" s="1" t="s">
        <v>305</v>
      </c>
      <c r="E97" s="1" t="s">
        <v>185</v>
      </c>
      <c r="F97" s="1" t="s">
        <v>15</v>
      </c>
      <c r="G97" s="1" t="s">
        <v>16</v>
      </c>
      <c r="H97" s="1">
        <v>1</v>
      </c>
      <c r="I97" s="1">
        <v>1999</v>
      </c>
      <c r="J97" s="1">
        <v>1999</v>
      </c>
      <c r="K97" s="1" t="s">
        <v>17</v>
      </c>
    </row>
    <row r="98" spans="1:11">
      <c r="A98" s="1" t="s">
        <v>306</v>
      </c>
      <c r="B98" s="1" t="s">
        <v>307</v>
      </c>
      <c r="C98" s="1" t="s">
        <v>308</v>
      </c>
      <c r="D98" s="1" t="s">
        <v>309</v>
      </c>
      <c r="E98" s="1" t="s">
        <v>104</v>
      </c>
      <c r="F98" s="1" t="s">
        <v>15</v>
      </c>
      <c r="G98" s="1" t="s">
        <v>52</v>
      </c>
      <c r="H98" s="1">
        <v>1</v>
      </c>
      <c r="I98" s="1">
        <v>899</v>
      </c>
      <c r="J98" s="1">
        <v>899</v>
      </c>
      <c r="K98" s="1" t="s">
        <v>310</v>
      </c>
    </row>
    <row r="99" spans="1:11">
      <c r="A99" s="1" t="s">
        <v>311</v>
      </c>
      <c r="B99" s="3">
        <v>46033</v>
      </c>
      <c r="C99" s="1" t="s">
        <v>312</v>
      </c>
      <c r="D99" s="1" t="s">
        <v>313</v>
      </c>
      <c r="E99" s="1" t="s">
        <v>21</v>
      </c>
      <c r="F99" s="1" t="s">
        <v>25</v>
      </c>
      <c r="G99" s="1" t="s">
        <v>26</v>
      </c>
      <c r="H99" s="1">
        <v>1</v>
      </c>
      <c r="I99" s="1">
        <v>1299</v>
      </c>
      <c r="J99" s="1">
        <v>1299</v>
      </c>
      <c r="K99" s="1" t="s">
        <v>120</v>
      </c>
    </row>
    <row r="100" spans="1:11">
      <c r="A100" s="1" t="s">
        <v>314</v>
      </c>
      <c r="B100" s="3">
        <v>46150</v>
      </c>
      <c r="C100" s="1" t="s">
        <v>315</v>
      </c>
      <c r="D100" s="1" t="s">
        <v>316</v>
      </c>
      <c r="E100" s="1" t="s">
        <v>217</v>
      </c>
      <c r="F100" s="1" t="s">
        <v>15</v>
      </c>
      <c r="G100" s="1" t="s">
        <v>162</v>
      </c>
      <c r="H100" s="1">
        <v>1</v>
      </c>
      <c r="I100" s="1">
        <v>1599</v>
      </c>
      <c r="J100" s="1">
        <v>1599</v>
      </c>
      <c r="K100" s="1" t="s">
        <v>17</v>
      </c>
    </row>
    <row r="101" spans="1:11">
      <c r="A101" s="1" t="s">
        <v>317</v>
      </c>
      <c r="B101" s="3">
        <v>46101</v>
      </c>
      <c r="C101" s="1" t="s">
        <v>318</v>
      </c>
      <c r="D101" s="1" t="s">
        <v>319</v>
      </c>
      <c r="E101" s="1" t="s">
        <v>21</v>
      </c>
      <c r="F101" s="1" t="s">
        <v>25</v>
      </c>
      <c r="G101" s="1" t="s">
        <v>31</v>
      </c>
      <c r="H101" s="1">
        <v>1</v>
      </c>
      <c r="I101" s="1">
        <v>1799</v>
      </c>
      <c r="J101" s="1">
        <v>1799</v>
      </c>
      <c r="K101" s="1" t="s">
        <v>17</v>
      </c>
    </row>
    <row r="102" spans="1:11">
      <c r="A102" s="1" t="s">
        <v>320</v>
      </c>
      <c r="B102" s="3">
        <v>46042</v>
      </c>
      <c r="C102" s="1" t="s">
        <v>155</v>
      </c>
      <c r="D102" s="1" t="s">
        <v>156</v>
      </c>
      <c r="E102" s="1" t="s">
        <v>321</v>
      </c>
      <c r="F102" s="1" t="s">
        <v>15</v>
      </c>
      <c r="G102" s="1" t="s">
        <v>162</v>
      </c>
      <c r="H102" s="1">
        <v>3</v>
      </c>
      <c r="I102" s="1">
        <v>1599</v>
      </c>
      <c r="J102" s="1">
        <v>4797</v>
      </c>
      <c r="K102" s="1" t="s">
        <v>17</v>
      </c>
    </row>
    <row r="103" spans="1:11">
      <c r="A103" s="1" t="s">
        <v>322</v>
      </c>
      <c r="B103" s="3">
        <v>46058</v>
      </c>
      <c r="C103" s="1" t="s">
        <v>98</v>
      </c>
      <c r="D103" s="1" t="s">
        <v>99</v>
      </c>
      <c r="E103" s="1" t="s">
        <v>64</v>
      </c>
      <c r="F103" s="1" t="s">
        <v>47</v>
      </c>
      <c r="G103" s="1" t="s">
        <v>48</v>
      </c>
      <c r="H103" s="1">
        <v>2</v>
      </c>
      <c r="I103" s="1">
        <v>499</v>
      </c>
      <c r="J103" s="1">
        <v>998</v>
      </c>
      <c r="K103" s="1" t="s">
        <v>17</v>
      </c>
    </row>
    <row r="104" spans="1:11">
      <c r="A104" s="1" t="s">
        <v>323</v>
      </c>
      <c r="B104" s="3">
        <v>46193</v>
      </c>
      <c r="C104" s="1" t="s">
        <v>324</v>
      </c>
      <c r="D104" s="1" t="s">
        <v>325</v>
      </c>
      <c r="E104" s="1" t="s">
        <v>30</v>
      </c>
      <c r="F104" s="1" t="s">
        <v>47</v>
      </c>
      <c r="G104" s="1" t="s">
        <v>56</v>
      </c>
      <c r="H104" s="1">
        <v>1</v>
      </c>
      <c r="I104" s="1">
        <v>3499</v>
      </c>
      <c r="J104" s="1">
        <v>3499</v>
      </c>
      <c r="K104" s="1" t="s">
        <v>17</v>
      </c>
    </row>
    <row r="105" spans="1:11">
      <c r="A105" s="1" t="s">
        <v>326</v>
      </c>
      <c r="B105" s="3">
        <v>46203</v>
      </c>
      <c r="C105" s="1" t="s">
        <v>122</v>
      </c>
      <c r="D105" s="1" t="s">
        <v>123</v>
      </c>
      <c r="E105" s="1"/>
      <c r="F105" s="1" t="s">
        <v>22</v>
      </c>
      <c r="G105" s="1" t="s">
        <v>196</v>
      </c>
      <c r="H105" s="1">
        <v>2</v>
      </c>
      <c r="I105" s="1">
        <v>2499</v>
      </c>
      <c r="J105" s="1">
        <v>4998</v>
      </c>
      <c r="K105" s="1" t="s">
        <v>17</v>
      </c>
    </row>
    <row r="106" spans="1:11">
      <c r="A106" s="1" t="s">
        <v>327</v>
      </c>
      <c r="B106" s="3">
        <v>46173</v>
      </c>
      <c r="C106" s="1" t="s">
        <v>275</v>
      </c>
      <c r="D106" s="1" t="s">
        <v>123</v>
      </c>
      <c r="E106" s="1" t="s">
        <v>89</v>
      </c>
      <c r="F106" s="1" t="s">
        <v>328</v>
      </c>
      <c r="G106" s="1" t="s">
        <v>16</v>
      </c>
      <c r="H106" s="1">
        <v>2</v>
      </c>
      <c r="I106" s="1">
        <v>1999</v>
      </c>
      <c r="J106" s="1">
        <v>3998</v>
      </c>
      <c r="K106" s="1" t="s">
        <v>17</v>
      </c>
    </row>
    <row r="107" spans="1:11">
      <c r="A107" s="1" t="s">
        <v>329</v>
      </c>
      <c r="B107" s="3">
        <v>46200</v>
      </c>
      <c r="C107" s="1" t="s">
        <v>330</v>
      </c>
      <c r="D107" s="1" t="s">
        <v>331</v>
      </c>
      <c r="E107" s="1" t="s">
        <v>217</v>
      </c>
      <c r="F107" s="1" t="s">
        <v>332</v>
      </c>
      <c r="G107" s="1" t="s">
        <v>128</v>
      </c>
      <c r="H107" s="1">
        <v>1</v>
      </c>
      <c r="I107" s="1">
        <v>1199</v>
      </c>
      <c r="J107" s="1">
        <v>1199</v>
      </c>
      <c r="K107" s="1" t="s">
        <v>17</v>
      </c>
    </row>
    <row r="108" spans="1:11">
      <c r="A108" s="1" t="s">
        <v>333</v>
      </c>
      <c r="B108" s="3">
        <v>46173</v>
      </c>
      <c r="C108" s="1" t="s">
        <v>324</v>
      </c>
      <c r="D108" s="1" t="s">
        <v>334</v>
      </c>
      <c r="E108" s="1" t="s">
        <v>30</v>
      </c>
      <c r="F108" s="1" t="s">
        <v>47</v>
      </c>
      <c r="G108" s="1" t="s">
        <v>100</v>
      </c>
      <c r="H108" s="1">
        <v>1</v>
      </c>
      <c r="I108" s="1">
        <v>2799</v>
      </c>
      <c r="J108" s="1">
        <v>2799</v>
      </c>
      <c r="K108" s="1" t="s">
        <v>38</v>
      </c>
    </row>
    <row r="109" spans="1:11">
      <c r="A109" s="1" t="s">
        <v>335</v>
      </c>
      <c r="B109" s="3">
        <v>46178</v>
      </c>
      <c r="C109" s="1" t="s">
        <v>330</v>
      </c>
      <c r="D109" s="1" t="s">
        <v>331</v>
      </c>
      <c r="E109" s="1" t="s">
        <v>336</v>
      </c>
      <c r="F109" s="1" t="s">
        <v>15</v>
      </c>
      <c r="G109" s="1" t="s">
        <v>52</v>
      </c>
      <c r="H109" s="1">
        <v>1</v>
      </c>
      <c r="I109" s="1">
        <v>899</v>
      </c>
      <c r="J109" s="1">
        <v>899</v>
      </c>
      <c r="K109" s="1" t="s">
        <v>38</v>
      </c>
    </row>
    <row r="110" spans="1:11">
      <c r="A110" s="1" t="s">
        <v>337</v>
      </c>
      <c r="B110" s="3">
        <v>46024</v>
      </c>
      <c r="C110" s="1" t="s">
        <v>338</v>
      </c>
      <c r="D110" s="1" t="s">
        <v>134</v>
      </c>
      <c r="E110" s="1" t="s">
        <v>14</v>
      </c>
      <c r="F110" s="1" t="s">
        <v>15</v>
      </c>
      <c r="G110" s="1" t="s">
        <v>16</v>
      </c>
      <c r="H110" s="1">
        <v>3</v>
      </c>
      <c r="I110" s="1">
        <v>1999</v>
      </c>
      <c r="J110" s="1">
        <v>5997</v>
      </c>
      <c r="K110" s="1" t="s">
        <v>17</v>
      </c>
    </row>
    <row r="111" spans="1:11">
      <c r="A111" s="1" t="s">
        <v>339</v>
      </c>
      <c r="B111" s="3">
        <v>46053</v>
      </c>
      <c r="C111" s="1" t="s">
        <v>291</v>
      </c>
      <c r="D111" s="1" t="s">
        <v>340</v>
      </c>
      <c r="E111" s="1" t="s">
        <v>14</v>
      </c>
      <c r="F111" s="1" t="s">
        <v>22</v>
      </c>
      <c r="G111" s="1" t="s">
        <v>23</v>
      </c>
      <c r="H111" s="1">
        <v>2</v>
      </c>
      <c r="I111" s="1">
        <v>3299</v>
      </c>
      <c r="J111" s="1">
        <v>6598</v>
      </c>
      <c r="K111" s="1" t="s">
        <v>222</v>
      </c>
    </row>
    <row r="112" spans="1:11">
      <c r="A112" s="1" t="s">
        <v>341</v>
      </c>
      <c r="B112" s="3">
        <v>46188</v>
      </c>
      <c r="C112" s="1" t="s">
        <v>342</v>
      </c>
      <c r="D112" s="1" t="s">
        <v>177</v>
      </c>
      <c r="E112" s="1" t="s">
        <v>104</v>
      </c>
      <c r="F112" s="1" t="s">
        <v>68</v>
      </c>
      <c r="G112" s="1" t="s">
        <v>31</v>
      </c>
      <c r="H112" s="1">
        <v>1</v>
      </c>
      <c r="I112" s="1">
        <v>1799</v>
      </c>
      <c r="J112" s="1"/>
      <c r="K112" s="1" t="s">
        <v>17</v>
      </c>
    </row>
    <row r="113" spans="1:11">
      <c r="A113" s="1" t="s">
        <v>343</v>
      </c>
      <c r="B113" s="3">
        <v>46093</v>
      </c>
      <c r="C113" s="1" t="s">
        <v>122</v>
      </c>
      <c r="D113" s="1" t="s">
        <v>123</v>
      </c>
      <c r="E113" s="1" t="s">
        <v>14</v>
      </c>
      <c r="F113" s="1" t="s">
        <v>22</v>
      </c>
      <c r="G113" s="1" t="s">
        <v>138</v>
      </c>
      <c r="H113" s="1">
        <v>1</v>
      </c>
      <c r="I113" s="1">
        <v>599</v>
      </c>
      <c r="J113" s="1">
        <v>599</v>
      </c>
      <c r="K113" s="1" t="s">
        <v>17</v>
      </c>
    </row>
    <row r="114" spans="1:11">
      <c r="A114" s="1" t="s">
        <v>344</v>
      </c>
      <c r="B114" s="3">
        <v>46032</v>
      </c>
      <c r="C114" s="1" t="s">
        <v>345</v>
      </c>
      <c r="D114" s="1" t="s">
        <v>346</v>
      </c>
      <c r="E114" s="1" t="s">
        <v>217</v>
      </c>
      <c r="F114" s="1" t="s">
        <v>347</v>
      </c>
      <c r="G114" s="1" t="s">
        <v>52</v>
      </c>
      <c r="H114" s="1">
        <v>3</v>
      </c>
      <c r="I114" s="1">
        <v>899</v>
      </c>
      <c r="J114" s="1">
        <v>2697</v>
      </c>
      <c r="K114" s="1" t="s">
        <v>120</v>
      </c>
    </row>
    <row r="115" spans="1:11">
      <c r="A115" s="1" t="s">
        <v>348</v>
      </c>
      <c r="B115" s="1" t="s">
        <v>349</v>
      </c>
      <c r="C115" s="1"/>
      <c r="D115" s="1" t="s">
        <v>173</v>
      </c>
      <c r="E115" s="1" t="s">
        <v>73</v>
      </c>
      <c r="F115" s="1" t="s">
        <v>25</v>
      </c>
      <c r="G115" s="1" t="s">
        <v>69</v>
      </c>
      <c r="H115" s="1">
        <v>1</v>
      </c>
      <c r="I115" s="1">
        <v>2199</v>
      </c>
      <c r="J115" s="1">
        <v>2199</v>
      </c>
      <c r="K115" s="1" t="s">
        <v>17</v>
      </c>
    </row>
    <row r="116" spans="1:11">
      <c r="A116" s="1" t="s">
        <v>350</v>
      </c>
      <c r="B116" s="1" t="s">
        <v>351</v>
      </c>
      <c r="C116" s="1" t="s">
        <v>216</v>
      </c>
      <c r="D116" s="1" t="s">
        <v>202</v>
      </c>
      <c r="E116" s="1" t="s">
        <v>217</v>
      </c>
      <c r="F116" s="1" t="s">
        <v>47</v>
      </c>
      <c r="G116" s="1" t="s">
        <v>56</v>
      </c>
      <c r="H116" s="1">
        <v>1</v>
      </c>
      <c r="I116" s="1">
        <v>3499</v>
      </c>
      <c r="J116" s="1">
        <v>3499</v>
      </c>
      <c r="K116" s="1" t="s">
        <v>222</v>
      </c>
    </row>
    <row r="117" spans="1:11">
      <c r="A117" s="1" t="s">
        <v>352</v>
      </c>
      <c r="B117" s="3">
        <v>46084</v>
      </c>
      <c r="C117" s="1" t="s">
        <v>353</v>
      </c>
      <c r="D117" s="1" t="s">
        <v>354</v>
      </c>
      <c r="E117" s="1" t="s">
        <v>14</v>
      </c>
      <c r="F117" s="1" t="s">
        <v>15</v>
      </c>
      <c r="G117" s="1" t="s">
        <v>52</v>
      </c>
      <c r="H117" s="1">
        <v>1</v>
      </c>
      <c r="I117" s="1">
        <v>899</v>
      </c>
      <c r="J117" s="1">
        <v>899</v>
      </c>
      <c r="K117" s="1" t="s">
        <v>17</v>
      </c>
    </row>
    <row r="118" spans="1:11">
      <c r="A118" s="1" t="s">
        <v>355</v>
      </c>
      <c r="B118" s="3">
        <v>46046</v>
      </c>
      <c r="C118" s="1" t="s">
        <v>168</v>
      </c>
      <c r="D118" s="1" t="s">
        <v>281</v>
      </c>
      <c r="E118" s="1" t="s">
        <v>64</v>
      </c>
      <c r="F118" s="1" t="s">
        <v>15</v>
      </c>
      <c r="G118" s="1" t="s">
        <v>16</v>
      </c>
      <c r="H118" s="1">
        <v>1</v>
      </c>
      <c r="I118" s="1">
        <v>1999</v>
      </c>
      <c r="J118" s="1">
        <v>1999</v>
      </c>
      <c r="K118" s="1" t="s">
        <v>120</v>
      </c>
    </row>
    <row r="119" spans="1:11">
      <c r="A119" s="1" t="s">
        <v>356</v>
      </c>
      <c r="B119" s="3">
        <v>46055</v>
      </c>
      <c r="C119" s="1" t="s">
        <v>357</v>
      </c>
      <c r="D119" s="1" t="s">
        <v>358</v>
      </c>
      <c r="E119" s="1" t="s">
        <v>166</v>
      </c>
      <c r="F119" s="1" t="s">
        <v>219</v>
      </c>
      <c r="G119" s="1" t="s">
        <v>196</v>
      </c>
      <c r="H119" s="1">
        <v>1</v>
      </c>
      <c r="I119" s="1">
        <v>2499</v>
      </c>
      <c r="J119" s="1">
        <v>2499</v>
      </c>
      <c r="K119" s="1" t="s">
        <v>17</v>
      </c>
    </row>
    <row r="120" spans="1:11">
      <c r="A120" s="1" t="s">
        <v>359</v>
      </c>
      <c r="B120" s="3">
        <v>46043</v>
      </c>
      <c r="C120" s="1" t="s">
        <v>338</v>
      </c>
      <c r="D120" s="1" t="s">
        <v>134</v>
      </c>
      <c r="E120" s="1" t="s">
        <v>14</v>
      </c>
      <c r="F120" s="1" t="s">
        <v>15</v>
      </c>
      <c r="G120" s="1" t="s">
        <v>16</v>
      </c>
      <c r="H120" s="1">
        <v>1</v>
      </c>
      <c r="I120" s="1">
        <v>1999</v>
      </c>
      <c r="J120" s="1">
        <v>1999</v>
      </c>
      <c r="K120" s="1" t="s">
        <v>78</v>
      </c>
    </row>
    <row r="121" spans="1:11">
      <c r="A121" s="1" t="s">
        <v>360</v>
      </c>
      <c r="B121" s="3">
        <v>46180</v>
      </c>
      <c r="C121" s="1" t="s">
        <v>95</v>
      </c>
      <c r="D121" s="1" t="s">
        <v>84</v>
      </c>
      <c r="E121" s="1" t="s">
        <v>64</v>
      </c>
      <c r="F121" s="1" t="s">
        <v>25</v>
      </c>
      <c r="G121" s="1" t="s">
        <v>26</v>
      </c>
      <c r="H121" s="1">
        <v>1</v>
      </c>
      <c r="I121" s="1">
        <v>1299</v>
      </c>
      <c r="J121" s="1">
        <v>1299</v>
      </c>
      <c r="K121" s="1" t="s">
        <v>17</v>
      </c>
    </row>
    <row r="122" spans="1:11">
      <c r="A122" s="1" t="s">
        <v>361</v>
      </c>
      <c r="B122" s="3">
        <v>46200</v>
      </c>
      <c r="C122" s="1" t="s">
        <v>268</v>
      </c>
      <c r="D122" s="1" t="s">
        <v>269</v>
      </c>
      <c r="E122" s="1" t="s">
        <v>21</v>
      </c>
      <c r="F122" s="1" t="s">
        <v>22</v>
      </c>
      <c r="G122" s="1" t="s">
        <v>196</v>
      </c>
      <c r="H122" s="1">
        <v>1</v>
      </c>
      <c r="I122" s="1">
        <v>2499</v>
      </c>
      <c r="J122" s="1">
        <v>2499</v>
      </c>
      <c r="K122" s="1" t="s">
        <v>17</v>
      </c>
    </row>
    <row r="123" spans="1:11">
      <c r="A123" s="1" t="s">
        <v>362</v>
      </c>
      <c r="B123" s="3">
        <v>46196</v>
      </c>
      <c r="C123" s="1" t="s">
        <v>204</v>
      </c>
      <c r="D123" s="1" t="s">
        <v>205</v>
      </c>
      <c r="E123" s="1" t="s">
        <v>64</v>
      </c>
      <c r="F123" s="1" t="s">
        <v>36</v>
      </c>
      <c r="G123" s="1" t="s">
        <v>151</v>
      </c>
      <c r="H123" s="1">
        <v>1</v>
      </c>
      <c r="I123" s="1">
        <v>799</v>
      </c>
      <c r="J123" s="1">
        <v>799</v>
      </c>
      <c r="K123" s="1" t="s">
        <v>17</v>
      </c>
    </row>
    <row r="124" spans="1:11">
      <c r="A124" s="1" t="s">
        <v>363</v>
      </c>
      <c r="B124" s="3">
        <v>46074</v>
      </c>
      <c r="C124" s="1" t="s">
        <v>179</v>
      </c>
      <c r="D124" s="1" t="s">
        <v>180</v>
      </c>
      <c r="E124" s="1" t="s">
        <v>104</v>
      </c>
      <c r="F124" s="1" t="s">
        <v>22</v>
      </c>
      <c r="G124" s="1" t="s">
        <v>196</v>
      </c>
      <c r="H124" s="1">
        <v>1</v>
      </c>
      <c r="I124" s="1">
        <v>2499</v>
      </c>
      <c r="J124" s="1">
        <v>2499</v>
      </c>
      <c r="K124" s="1" t="s">
        <v>222</v>
      </c>
    </row>
    <row r="125" spans="1:11">
      <c r="A125" s="1" t="s">
        <v>364</v>
      </c>
      <c r="B125" s="3">
        <v>46026</v>
      </c>
      <c r="C125" s="1" t="s">
        <v>172</v>
      </c>
      <c r="D125" s="1" t="s">
        <v>173</v>
      </c>
      <c r="E125" s="1" t="s">
        <v>30</v>
      </c>
      <c r="F125" s="1" t="s">
        <v>25</v>
      </c>
      <c r="G125" s="1" t="s">
        <v>115</v>
      </c>
      <c r="H125" s="1">
        <v>1</v>
      </c>
      <c r="I125" s="1">
        <v>3999</v>
      </c>
      <c r="J125" s="1">
        <v>3999</v>
      </c>
      <c r="K125" s="1" t="s">
        <v>17</v>
      </c>
    </row>
    <row r="126" spans="1:11">
      <c r="A126" s="1" t="s">
        <v>365</v>
      </c>
      <c r="B126" s="3">
        <v>46060</v>
      </c>
      <c r="C126" s="1" t="s">
        <v>366</v>
      </c>
      <c r="D126" s="1" t="s">
        <v>367</v>
      </c>
      <c r="E126" s="1" t="s">
        <v>30</v>
      </c>
      <c r="F126" s="1" t="s">
        <v>47</v>
      </c>
      <c r="G126" s="1" t="s">
        <v>128</v>
      </c>
      <c r="H126" s="1">
        <v>1</v>
      </c>
      <c r="I126" s="1">
        <v>1199</v>
      </c>
      <c r="J126" s="1">
        <v>1199</v>
      </c>
      <c r="K126" s="1" t="s">
        <v>17</v>
      </c>
    </row>
    <row r="127" spans="1:11">
      <c r="A127" s="1" t="s">
        <v>368</v>
      </c>
      <c r="B127" s="3">
        <v>46196</v>
      </c>
      <c r="C127" s="1" t="s">
        <v>369</v>
      </c>
      <c r="D127" s="1" t="s">
        <v>370</v>
      </c>
      <c r="E127" s="1" t="s">
        <v>321</v>
      </c>
      <c r="F127" s="1" t="s">
        <v>15</v>
      </c>
      <c r="G127" s="1" t="s">
        <v>16</v>
      </c>
      <c r="H127" s="1">
        <v>2</v>
      </c>
      <c r="I127" s="1">
        <v>1999</v>
      </c>
      <c r="J127" s="1">
        <v>3998</v>
      </c>
      <c r="K127" s="1" t="s">
        <v>222</v>
      </c>
    </row>
    <row r="128" spans="1:11">
      <c r="A128" s="1" t="s">
        <v>371</v>
      </c>
      <c r="B128" s="3">
        <v>46174</v>
      </c>
      <c r="C128" s="1" t="s">
        <v>372</v>
      </c>
      <c r="D128" s="1" t="s">
        <v>331</v>
      </c>
      <c r="E128" s="1" t="s">
        <v>21</v>
      </c>
      <c r="F128" s="1" t="s">
        <v>373</v>
      </c>
      <c r="G128" s="1" t="s">
        <v>196</v>
      </c>
      <c r="H128" s="1">
        <v>1</v>
      </c>
      <c r="I128" s="1">
        <v>2499</v>
      </c>
      <c r="J128" s="1">
        <v>2499</v>
      </c>
      <c r="K128" s="1" t="s">
        <v>17</v>
      </c>
    </row>
    <row r="129" spans="1:11">
      <c r="A129" s="1" t="s">
        <v>374</v>
      </c>
      <c r="B129" s="3">
        <v>46034</v>
      </c>
      <c r="C129" s="1" t="s">
        <v>375</v>
      </c>
      <c r="D129" s="1" t="s">
        <v>376</v>
      </c>
      <c r="E129" s="1" t="s">
        <v>89</v>
      </c>
      <c r="F129" s="1" t="s">
        <v>25</v>
      </c>
      <c r="G129" s="1" t="s">
        <v>26</v>
      </c>
      <c r="H129" s="1">
        <v>1</v>
      </c>
      <c r="I129" s="1">
        <v>1299</v>
      </c>
      <c r="J129" s="1">
        <v>1299</v>
      </c>
      <c r="K129" s="1" t="s">
        <v>17</v>
      </c>
    </row>
    <row r="130" spans="1:11">
      <c r="A130" s="1" t="s">
        <v>377</v>
      </c>
      <c r="B130" s="3">
        <v>46200</v>
      </c>
      <c r="C130" s="1" t="s">
        <v>198</v>
      </c>
      <c r="D130" s="1" t="s">
        <v>88</v>
      </c>
      <c r="E130" s="1" t="s">
        <v>378</v>
      </c>
      <c r="F130" s="1" t="s">
        <v>36</v>
      </c>
      <c r="G130" s="1" t="s">
        <v>141</v>
      </c>
      <c r="H130" s="1">
        <v>3</v>
      </c>
      <c r="I130" s="1">
        <v>999</v>
      </c>
      <c r="J130" s="1">
        <v>2997</v>
      </c>
      <c r="K130" s="1" t="s">
        <v>17</v>
      </c>
    </row>
    <row r="131" spans="1:11">
      <c r="A131" s="1" t="s">
        <v>379</v>
      </c>
      <c r="B131" s="3">
        <v>46134</v>
      </c>
      <c r="C131" s="1" t="s">
        <v>380</v>
      </c>
      <c r="D131" s="1" t="s">
        <v>202</v>
      </c>
      <c r="E131" s="1" t="s">
        <v>14</v>
      </c>
      <c r="F131" s="1" t="s">
        <v>25</v>
      </c>
      <c r="G131" s="1" t="s">
        <v>31</v>
      </c>
      <c r="H131" s="1">
        <v>1</v>
      </c>
      <c r="I131" s="1">
        <v>1799</v>
      </c>
      <c r="J131" s="1">
        <v>1799</v>
      </c>
      <c r="K131" s="1" t="s">
        <v>17</v>
      </c>
    </row>
    <row r="132" spans="1:11">
      <c r="A132" s="1" t="s">
        <v>381</v>
      </c>
      <c r="B132" s="3">
        <v>46142</v>
      </c>
      <c r="C132" s="1" t="s">
        <v>264</v>
      </c>
      <c r="D132" s="1" t="s">
        <v>382</v>
      </c>
      <c r="E132" s="1" t="s">
        <v>217</v>
      </c>
      <c r="F132" s="1" t="s">
        <v>383</v>
      </c>
      <c r="G132" s="1" t="s">
        <v>162</v>
      </c>
      <c r="H132" s="1">
        <v>1</v>
      </c>
      <c r="I132" s="1">
        <v>1599</v>
      </c>
      <c r="J132" s="1">
        <v>1599</v>
      </c>
      <c r="K132" s="1" t="s">
        <v>17</v>
      </c>
    </row>
    <row r="133" spans="1:11">
      <c r="A133" s="1" t="s">
        <v>384</v>
      </c>
      <c r="B133" s="3">
        <v>46183</v>
      </c>
      <c r="C133" s="1" t="s">
        <v>226</v>
      </c>
      <c r="D133" s="1" t="s">
        <v>227</v>
      </c>
      <c r="E133" s="1" t="s">
        <v>30</v>
      </c>
      <c r="F133" s="1" t="s">
        <v>22</v>
      </c>
      <c r="G133" s="1" t="s">
        <v>43</v>
      </c>
      <c r="H133" s="1">
        <v>3</v>
      </c>
      <c r="I133" s="1">
        <v>1499</v>
      </c>
      <c r="J133" s="1">
        <v>4497</v>
      </c>
      <c r="K133" s="1" t="s">
        <v>17</v>
      </c>
    </row>
    <row r="134" spans="1:11">
      <c r="A134" s="1" t="s">
        <v>385</v>
      </c>
      <c r="B134" s="3">
        <v>46121</v>
      </c>
      <c r="C134" s="1" t="s">
        <v>386</v>
      </c>
      <c r="D134" s="1" t="s">
        <v>190</v>
      </c>
      <c r="E134" s="1" t="s">
        <v>217</v>
      </c>
      <c r="F134" s="1" t="s">
        <v>15</v>
      </c>
      <c r="G134" s="1" t="s">
        <v>162</v>
      </c>
      <c r="H134" s="1">
        <v>1</v>
      </c>
      <c r="I134" s="1">
        <v>1599</v>
      </c>
      <c r="J134" s="1">
        <v>1599</v>
      </c>
      <c r="K134" s="1" t="s">
        <v>17</v>
      </c>
    </row>
    <row r="135" spans="1:11">
      <c r="A135" s="1" t="s">
        <v>387</v>
      </c>
      <c r="B135" s="3">
        <v>46135</v>
      </c>
      <c r="C135" s="1" t="s">
        <v>338</v>
      </c>
      <c r="D135" s="1" t="s">
        <v>134</v>
      </c>
      <c r="E135" s="1" t="s">
        <v>14</v>
      </c>
      <c r="F135" s="1" t="s">
        <v>22</v>
      </c>
      <c r="G135" s="1" t="s">
        <v>138</v>
      </c>
      <c r="H135" s="1">
        <v>1</v>
      </c>
      <c r="I135" s="1">
        <v>599</v>
      </c>
      <c r="J135" s="1">
        <v>599</v>
      </c>
      <c r="K135" s="1" t="s">
        <v>78</v>
      </c>
    </row>
    <row r="136" spans="1:11">
      <c r="A136" s="1" t="s">
        <v>388</v>
      </c>
      <c r="B136" s="3">
        <v>46174</v>
      </c>
      <c r="C136" s="1" t="s">
        <v>389</v>
      </c>
      <c r="D136" s="1" t="s">
        <v>29</v>
      </c>
      <c r="E136" s="1" t="s">
        <v>64</v>
      </c>
      <c r="F136" s="1" t="s">
        <v>36</v>
      </c>
      <c r="G136" s="1" t="s">
        <v>151</v>
      </c>
      <c r="H136" s="1">
        <v>2</v>
      </c>
      <c r="I136" s="1">
        <v>799</v>
      </c>
      <c r="J136" s="1">
        <v>1598</v>
      </c>
      <c r="K136" s="1" t="s">
        <v>17</v>
      </c>
    </row>
    <row r="137" spans="1:11">
      <c r="A137" s="1" t="s">
        <v>390</v>
      </c>
      <c r="B137" s="3">
        <v>46062</v>
      </c>
      <c r="C137" s="1" t="s">
        <v>391</v>
      </c>
      <c r="D137" s="1" t="s">
        <v>392</v>
      </c>
      <c r="E137" s="1" t="s">
        <v>217</v>
      </c>
      <c r="F137" s="1" t="s">
        <v>47</v>
      </c>
      <c r="G137" s="1" t="s">
        <v>48</v>
      </c>
      <c r="H137" s="1">
        <v>1</v>
      </c>
      <c r="I137" s="1">
        <v>499</v>
      </c>
      <c r="J137" s="1">
        <v>499</v>
      </c>
      <c r="K137" s="1" t="s">
        <v>17</v>
      </c>
    </row>
    <row r="138" spans="1:11">
      <c r="A138" s="1" t="s">
        <v>393</v>
      </c>
      <c r="B138" s="3">
        <v>46044</v>
      </c>
      <c r="C138" s="1" t="s">
        <v>268</v>
      </c>
      <c r="D138" s="1" t="s">
        <v>269</v>
      </c>
      <c r="E138" s="1" t="s">
        <v>247</v>
      </c>
      <c r="F138" s="1" t="s">
        <v>15</v>
      </c>
      <c r="G138" s="1" t="s">
        <v>52</v>
      </c>
      <c r="H138" s="1">
        <v>1</v>
      </c>
      <c r="I138" s="1">
        <v>899</v>
      </c>
      <c r="J138" s="1">
        <v>899</v>
      </c>
      <c r="K138" s="1" t="s">
        <v>17</v>
      </c>
    </row>
    <row r="139" spans="1:11">
      <c r="A139" s="1" t="s">
        <v>394</v>
      </c>
      <c r="B139" s="3">
        <v>46159</v>
      </c>
      <c r="C139" s="1" t="s">
        <v>283</v>
      </c>
      <c r="D139" s="1" t="s">
        <v>395</v>
      </c>
      <c r="E139" s="1" t="s">
        <v>277</v>
      </c>
      <c r="F139" s="1" t="s">
        <v>47</v>
      </c>
      <c r="G139" s="1" t="s">
        <v>100</v>
      </c>
      <c r="H139" s="1">
        <v>1</v>
      </c>
      <c r="I139" s="1">
        <v>2799</v>
      </c>
      <c r="J139" s="1">
        <v>2799</v>
      </c>
      <c r="K139" s="1" t="s">
        <v>17</v>
      </c>
    </row>
    <row r="140" spans="1:11">
      <c r="A140" s="1" t="s">
        <v>396</v>
      </c>
      <c r="B140" s="3">
        <v>46192</v>
      </c>
      <c r="C140" s="1" t="s">
        <v>397</v>
      </c>
      <c r="D140" s="1" t="s">
        <v>398</v>
      </c>
      <c r="E140" s="1" t="s">
        <v>64</v>
      </c>
      <c r="F140" s="1" t="s">
        <v>25</v>
      </c>
      <c r="G140" s="1" t="s">
        <v>115</v>
      </c>
      <c r="H140" s="1">
        <v>1</v>
      </c>
      <c r="I140" s="1">
        <v>3999</v>
      </c>
      <c r="J140" s="1">
        <v>3999</v>
      </c>
      <c r="K140" s="1" t="s">
        <v>17</v>
      </c>
    </row>
    <row r="141" spans="1:11">
      <c r="A141" s="1" t="s">
        <v>399</v>
      </c>
      <c r="B141" s="3">
        <v>46161</v>
      </c>
      <c r="C141" s="1" t="s">
        <v>400</v>
      </c>
      <c r="D141" s="1" t="s">
        <v>401</v>
      </c>
      <c r="E141" s="1" t="s">
        <v>21</v>
      </c>
      <c r="F141" s="1" t="s">
        <v>15</v>
      </c>
      <c r="G141" s="1" t="s">
        <v>52</v>
      </c>
      <c r="H141" s="1">
        <v>2</v>
      </c>
      <c r="I141" s="1">
        <v>899</v>
      </c>
      <c r="J141" s="1">
        <v>1798</v>
      </c>
      <c r="K141" s="1" t="s">
        <v>17</v>
      </c>
    </row>
    <row r="142" spans="1:11">
      <c r="A142" s="1" t="s">
        <v>402</v>
      </c>
      <c r="B142" s="3">
        <v>46105</v>
      </c>
      <c r="C142" s="1" t="s">
        <v>258</v>
      </c>
      <c r="D142" s="1" t="s">
        <v>259</v>
      </c>
      <c r="E142" s="1" t="s">
        <v>14</v>
      </c>
      <c r="F142" s="1" t="s">
        <v>15</v>
      </c>
      <c r="G142" s="1" t="s">
        <v>162</v>
      </c>
      <c r="H142" s="1">
        <v>1</v>
      </c>
      <c r="I142" s="1">
        <v>1599</v>
      </c>
      <c r="J142" s="1">
        <v>1599</v>
      </c>
      <c r="K142" s="1" t="s">
        <v>38</v>
      </c>
    </row>
    <row r="143" spans="1:11">
      <c r="A143" s="1" t="s">
        <v>403</v>
      </c>
      <c r="B143" s="3">
        <v>46106</v>
      </c>
      <c r="C143" s="1" t="s">
        <v>50</v>
      </c>
      <c r="D143" s="1" t="s">
        <v>51</v>
      </c>
      <c r="E143" s="1" t="s">
        <v>21</v>
      </c>
      <c r="F143" s="1" t="s">
        <v>15</v>
      </c>
      <c r="G143" s="1" t="s">
        <v>16</v>
      </c>
      <c r="H143" s="1">
        <v>1</v>
      </c>
      <c r="I143" s="1">
        <v>1999</v>
      </c>
      <c r="J143" s="1">
        <v>1999</v>
      </c>
      <c r="K143" s="1" t="s">
        <v>17</v>
      </c>
    </row>
    <row r="144" spans="1:11">
      <c r="A144" s="1" t="s">
        <v>404</v>
      </c>
      <c r="B144" s="3">
        <v>46035</v>
      </c>
      <c r="C144" s="1" t="s">
        <v>405</v>
      </c>
      <c r="D144" s="1" t="s">
        <v>406</v>
      </c>
      <c r="E144" s="1" t="s">
        <v>89</v>
      </c>
      <c r="F144" s="1" t="s">
        <v>68</v>
      </c>
      <c r="G144" s="1" t="s">
        <v>69</v>
      </c>
      <c r="H144" s="1">
        <v>1</v>
      </c>
      <c r="I144" s="1">
        <v>2199</v>
      </c>
      <c r="J144" s="1">
        <v>2199</v>
      </c>
      <c r="K144" s="1" t="s">
        <v>17</v>
      </c>
    </row>
    <row r="145" spans="1:11">
      <c r="A145" s="1" t="s">
        <v>74</v>
      </c>
      <c r="B145" s="3">
        <v>46122</v>
      </c>
      <c r="C145" s="1" t="s">
        <v>75</v>
      </c>
      <c r="D145" s="1" t="s">
        <v>76</v>
      </c>
      <c r="E145" s="1" t="s">
        <v>64</v>
      </c>
      <c r="F145" s="1" t="s">
        <v>77</v>
      </c>
      <c r="G145" s="1" t="s">
        <v>69</v>
      </c>
      <c r="H145" s="1">
        <v>1</v>
      </c>
      <c r="I145" s="1">
        <v>2199</v>
      </c>
      <c r="J145" s="1">
        <v>2199</v>
      </c>
      <c r="K145" s="1" t="s">
        <v>78</v>
      </c>
    </row>
    <row r="146" spans="1:11">
      <c r="A146" s="1" t="s">
        <v>407</v>
      </c>
      <c r="B146" s="3">
        <v>46111</v>
      </c>
      <c r="C146" s="1" t="s">
        <v>408</v>
      </c>
      <c r="D146" s="1" t="s">
        <v>409</v>
      </c>
      <c r="E146" s="1" t="s">
        <v>104</v>
      </c>
      <c r="F146" s="1" t="s">
        <v>47</v>
      </c>
      <c r="G146" s="1" t="s">
        <v>48</v>
      </c>
      <c r="H146" s="1">
        <v>1</v>
      </c>
      <c r="I146" s="1">
        <v>499</v>
      </c>
      <c r="J146" s="1">
        <v>499</v>
      </c>
      <c r="K146" s="1" t="s">
        <v>17</v>
      </c>
    </row>
    <row r="147" spans="1:11">
      <c r="A147" s="1" t="s">
        <v>410</v>
      </c>
      <c r="B147" s="3">
        <v>46079</v>
      </c>
      <c r="C147" s="1" t="s">
        <v>411</v>
      </c>
      <c r="D147" s="1" t="s">
        <v>412</v>
      </c>
      <c r="E147" s="1" t="s">
        <v>21</v>
      </c>
      <c r="F147" s="1" t="s">
        <v>413</v>
      </c>
      <c r="G147" s="1" t="s">
        <v>69</v>
      </c>
      <c r="H147" s="1">
        <v>1</v>
      </c>
      <c r="I147" s="1">
        <v>2199</v>
      </c>
      <c r="J147" s="1">
        <v>2199</v>
      </c>
      <c r="K147" s="1" t="s">
        <v>17</v>
      </c>
    </row>
    <row r="148" spans="1:11">
      <c r="A148" s="1" t="s">
        <v>396</v>
      </c>
      <c r="B148" s="3">
        <v>46192</v>
      </c>
      <c r="C148" s="1" t="s">
        <v>397</v>
      </c>
      <c r="D148" s="1" t="s">
        <v>398</v>
      </c>
      <c r="E148" s="1" t="s">
        <v>64</v>
      </c>
      <c r="F148" s="1" t="s">
        <v>25</v>
      </c>
      <c r="G148" s="1" t="s">
        <v>115</v>
      </c>
      <c r="H148" s="1">
        <v>1</v>
      </c>
      <c r="I148" s="1">
        <v>3999</v>
      </c>
      <c r="J148" s="1">
        <v>3999</v>
      </c>
      <c r="K148" s="1" t="s">
        <v>17</v>
      </c>
    </row>
    <row r="149" spans="1:11">
      <c r="A149" s="1" t="s">
        <v>414</v>
      </c>
      <c r="B149" s="3">
        <v>46040</v>
      </c>
      <c r="C149" s="1" t="s">
        <v>389</v>
      </c>
      <c r="D149" s="1" t="s">
        <v>29</v>
      </c>
      <c r="E149" s="1" t="s">
        <v>64</v>
      </c>
      <c r="F149" s="1" t="s">
        <v>47</v>
      </c>
      <c r="G149" s="1" t="s">
        <v>128</v>
      </c>
      <c r="H149" s="1">
        <v>1</v>
      </c>
      <c r="I149" s="1">
        <v>1199</v>
      </c>
      <c r="J149" s="1">
        <v>1199</v>
      </c>
      <c r="K149" s="1" t="s">
        <v>17</v>
      </c>
    </row>
    <row r="150" spans="1:11">
      <c r="A150" s="1" t="s">
        <v>415</v>
      </c>
      <c r="B150" s="3">
        <v>46200</v>
      </c>
      <c r="C150" s="1" t="s">
        <v>95</v>
      </c>
      <c r="D150" s="1" t="s">
        <v>84</v>
      </c>
      <c r="E150" s="1" t="s">
        <v>85</v>
      </c>
      <c r="F150" s="1" t="s">
        <v>47</v>
      </c>
      <c r="G150" s="1" t="s">
        <v>56</v>
      </c>
      <c r="H150" s="1">
        <v>1</v>
      </c>
      <c r="I150" s="1">
        <v>3499</v>
      </c>
      <c r="J150" s="1">
        <v>3499</v>
      </c>
      <c r="K150" s="1" t="s">
        <v>17</v>
      </c>
    </row>
    <row r="151" spans="1:11">
      <c r="A151" s="1" t="s">
        <v>416</v>
      </c>
      <c r="B151" s="3">
        <v>46197</v>
      </c>
      <c r="C151" s="1" t="s">
        <v>117</v>
      </c>
      <c r="D151" s="1" t="s">
        <v>118</v>
      </c>
      <c r="E151" s="1" t="s">
        <v>104</v>
      </c>
      <c r="F151" s="1" t="s">
        <v>36</v>
      </c>
      <c r="G151" s="1" t="s">
        <v>37</v>
      </c>
      <c r="H151" s="1">
        <v>1</v>
      </c>
      <c r="I151" s="1">
        <v>2299</v>
      </c>
      <c r="J151" s="1">
        <v>2299</v>
      </c>
      <c r="K151" s="1" t="s">
        <v>17</v>
      </c>
    </row>
    <row r="152" spans="1:11">
      <c r="A152" s="1" t="s">
        <v>417</v>
      </c>
      <c r="B152" s="3">
        <v>46042</v>
      </c>
      <c r="C152" s="1" t="s">
        <v>45</v>
      </c>
      <c r="D152" s="1" t="s">
        <v>46</v>
      </c>
      <c r="E152" s="1" t="s">
        <v>14</v>
      </c>
      <c r="F152" s="1" t="s">
        <v>47</v>
      </c>
      <c r="G152" s="1" t="s">
        <v>56</v>
      </c>
      <c r="H152" s="1">
        <v>1</v>
      </c>
      <c r="I152" s="1">
        <v>3499</v>
      </c>
      <c r="J152" s="1">
        <v>3499</v>
      </c>
      <c r="K152" s="1" t="s">
        <v>17</v>
      </c>
    </row>
    <row r="153" spans="1:11">
      <c r="A153" s="1" t="s">
        <v>418</v>
      </c>
      <c r="B153" s="3">
        <v>46124</v>
      </c>
      <c r="C153" s="1" t="s">
        <v>419</v>
      </c>
      <c r="D153" s="1" t="s">
        <v>420</v>
      </c>
      <c r="E153" s="1" t="s">
        <v>64</v>
      </c>
      <c r="F153" s="1" t="s">
        <v>15</v>
      </c>
      <c r="G153" s="1" t="s">
        <v>162</v>
      </c>
      <c r="H153" s="1">
        <v>1</v>
      </c>
      <c r="I153" s="1">
        <v>1599</v>
      </c>
      <c r="J153" s="1">
        <v>1599</v>
      </c>
      <c r="K153" s="1" t="s">
        <v>78</v>
      </c>
    </row>
    <row r="154" spans="1:11">
      <c r="A154" s="1" t="s">
        <v>421</v>
      </c>
      <c r="B154" s="3">
        <v>46032</v>
      </c>
      <c r="C154" s="1" t="s">
        <v>422</v>
      </c>
      <c r="D154" s="1" t="s">
        <v>173</v>
      </c>
      <c r="E154" s="1" t="s">
        <v>217</v>
      </c>
      <c r="F154" s="1" t="s">
        <v>15</v>
      </c>
      <c r="G154" s="1" t="s">
        <v>52</v>
      </c>
      <c r="H154" s="1">
        <v>1</v>
      </c>
      <c r="I154" s="1">
        <v>899</v>
      </c>
      <c r="J154" s="1">
        <v>899</v>
      </c>
      <c r="K154" s="1" t="s">
        <v>220</v>
      </c>
    </row>
    <row r="155" spans="1:11">
      <c r="A155" s="1" t="s">
        <v>423</v>
      </c>
      <c r="B155" s="3">
        <v>46200</v>
      </c>
      <c r="C155" s="1" t="s">
        <v>283</v>
      </c>
      <c r="D155" s="1" t="s">
        <v>227</v>
      </c>
      <c r="E155" s="1" t="s">
        <v>104</v>
      </c>
      <c r="F155" s="1" t="s">
        <v>25</v>
      </c>
      <c r="G155" s="1" t="s">
        <v>115</v>
      </c>
      <c r="H155" s="1">
        <v>1</v>
      </c>
      <c r="I155" s="1">
        <v>3999</v>
      </c>
      <c r="J155" s="1">
        <v>3999</v>
      </c>
      <c r="K155" s="1" t="s">
        <v>222</v>
      </c>
    </row>
    <row r="156" spans="1:11">
      <c r="A156" s="1" t="s">
        <v>424</v>
      </c>
      <c r="B156" s="3">
        <v>46180</v>
      </c>
      <c r="C156" s="1" t="s">
        <v>425</v>
      </c>
      <c r="D156" s="1" t="s">
        <v>426</v>
      </c>
      <c r="E156" s="1" t="s">
        <v>14</v>
      </c>
      <c r="F156" s="1" t="s">
        <v>47</v>
      </c>
      <c r="G156" s="1" t="s">
        <v>100</v>
      </c>
      <c r="H156" s="1">
        <v>1</v>
      </c>
      <c r="I156" s="1">
        <v>2799</v>
      </c>
      <c r="J156" s="1">
        <v>2799</v>
      </c>
      <c r="K156" s="1" t="s">
        <v>17</v>
      </c>
    </row>
    <row r="157" spans="1:11">
      <c r="A157" s="1" t="s">
        <v>427</v>
      </c>
      <c r="B157" s="3">
        <v>46101</v>
      </c>
      <c r="C157" s="1" t="s">
        <v>375</v>
      </c>
      <c r="D157" s="1" t="s">
        <v>376</v>
      </c>
      <c r="E157" s="1" t="s">
        <v>89</v>
      </c>
      <c r="F157" s="1" t="s">
        <v>47</v>
      </c>
      <c r="G157" s="1" t="s">
        <v>56</v>
      </c>
      <c r="H157" s="1">
        <v>1</v>
      </c>
      <c r="I157" s="1">
        <v>3499</v>
      </c>
      <c r="J157" s="1">
        <v>3499</v>
      </c>
      <c r="K157" s="1" t="s">
        <v>17</v>
      </c>
    </row>
    <row r="158" spans="1:11">
      <c r="A158" s="1" t="s">
        <v>428</v>
      </c>
      <c r="B158" s="3">
        <v>46149</v>
      </c>
      <c r="C158" s="1" t="s">
        <v>179</v>
      </c>
      <c r="D158" s="1" t="s">
        <v>180</v>
      </c>
      <c r="E158" s="1" t="s">
        <v>104</v>
      </c>
      <c r="F158" s="1" t="s">
        <v>36</v>
      </c>
      <c r="G158" s="1" t="s">
        <v>141</v>
      </c>
      <c r="H158" s="1">
        <v>2</v>
      </c>
      <c r="I158" s="1">
        <v>999</v>
      </c>
      <c r="J158" s="1">
        <v>1998</v>
      </c>
      <c r="K158" s="1" t="s">
        <v>17</v>
      </c>
    </row>
    <row r="159" spans="1:11">
      <c r="A159" s="1" t="s">
        <v>429</v>
      </c>
      <c r="B159" s="3">
        <v>46071</v>
      </c>
      <c r="C159" s="1" t="s">
        <v>430</v>
      </c>
      <c r="D159" s="1" t="s">
        <v>431</v>
      </c>
      <c r="E159" s="1" t="s">
        <v>104</v>
      </c>
      <c r="F159" s="1" t="s">
        <v>47</v>
      </c>
      <c r="G159" s="1" t="s">
        <v>56</v>
      </c>
      <c r="H159" s="1">
        <v>1</v>
      </c>
      <c r="I159" s="1">
        <v>3499</v>
      </c>
      <c r="J159" s="1">
        <v>3499</v>
      </c>
      <c r="K159" s="1" t="s">
        <v>17</v>
      </c>
    </row>
    <row r="160" spans="1:11">
      <c r="A160" s="1" t="s">
        <v>432</v>
      </c>
      <c r="B160" s="3">
        <v>46172</v>
      </c>
      <c r="C160" s="1" t="s">
        <v>433</v>
      </c>
      <c r="D160" s="1" t="s">
        <v>256</v>
      </c>
      <c r="E160" s="1" t="s">
        <v>64</v>
      </c>
      <c r="F160" s="1" t="s">
        <v>36</v>
      </c>
      <c r="G160" s="1" t="s">
        <v>151</v>
      </c>
      <c r="H160" s="1">
        <v>1</v>
      </c>
      <c r="I160" s="1">
        <v>799</v>
      </c>
      <c r="J160" s="1">
        <v>799</v>
      </c>
      <c r="K160" s="1" t="s">
        <v>17</v>
      </c>
    </row>
    <row r="161" spans="1:11">
      <c r="A161" s="1" t="s">
        <v>434</v>
      </c>
      <c r="B161" s="3">
        <v>46096</v>
      </c>
      <c r="C161" s="1" t="s">
        <v>435</v>
      </c>
      <c r="D161" s="1" t="s">
        <v>436</v>
      </c>
      <c r="E161" s="1" t="s">
        <v>73</v>
      </c>
      <c r="F161" s="1" t="s">
        <v>25</v>
      </c>
      <c r="G161" s="1" t="s">
        <v>69</v>
      </c>
      <c r="H161" s="1">
        <v>1</v>
      </c>
      <c r="I161" s="1">
        <v>2199</v>
      </c>
      <c r="J161" s="1">
        <v>2199</v>
      </c>
      <c r="K161" s="1" t="s">
        <v>17</v>
      </c>
    </row>
    <row r="162" spans="1:11">
      <c r="A162" s="1" t="s">
        <v>437</v>
      </c>
      <c r="B162" s="3">
        <v>46178</v>
      </c>
      <c r="C162" s="1" t="s">
        <v>411</v>
      </c>
      <c r="D162" s="1" t="s">
        <v>412</v>
      </c>
      <c r="E162" s="1" t="s">
        <v>21</v>
      </c>
      <c r="F162" s="1" t="s">
        <v>77</v>
      </c>
      <c r="G162" s="1" t="s">
        <v>31</v>
      </c>
      <c r="H162" s="1">
        <v>1</v>
      </c>
      <c r="I162" s="1">
        <v>1799</v>
      </c>
      <c r="J162" s="1">
        <v>1799</v>
      </c>
      <c r="K162" s="1" t="s">
        <v>17</v>
      </c>
    </row>
    <row r="163" spans="1:11">
      <c r="A163" s="1" t="s">
        <v>438</v>
      </c>
      <c r="B163" s="3">
        <v>46030</v>
      </c>
      <c r="C163" s="1" t="s">
        <v>136</v>
      </c>
      <c r="D163" s="1" t="s">
        <v>137</v>
      </c>
      <c r="E163" s="1" t="s">
        <v>21</v>
      </c>
      <c r="F163" s="1" t="s">
        <v>15</v>
      </c>
      <c r="G163" s="1" t="s">
        <v>52</v>
      </c>
      <c r="H163" s="1">
        <v>1</v>
      </c>
      <c r="I163" s="1">
        <v>899</v>
      </c>
      <c r="J163" s="1">
        <v>899</v>
      </c>
      <c r="K163" s="1" t="s">
        <v>120</v>
      </c>
    </row>
    <row r="164" spans="1:11">
      <c r="A164" s="1" t="s">
        <v>439</v>
      </c>
      <c r="B164" s="3">
        <v>46144</v>
      </c>
      <c r="C164" s="1" t="s">
        <v>160</v>
      </c>
      <c r="D164" s="1" t="s">
        <v>161</v>
      </c>
      <c r="E164" s="1"/>
      <c r="F164" s="1" t="s">
        <v>25</v>
      </c>
      <c r="G164" s="1" t="s">
        <v>69</v>
      </c>
      <c r="H164" s="1">
        <v>1</v>
      </c>
      <c r="I164" s="1">
        <v>2199</v>
      </c>
      <c r="J164" s="1">
        <v>2199</v>
      </c>
      <c r="K164" s="1" t="s">
        <v>17</v>
      </c>
    </row>
    <row r="165" spans="1:11">
      <c r="A165" s="1" t="s">
        <v>440</v>
      </c>
      <c r="B165" s="3">
        <v>46167</v>
      </c>
      <c r="C165" s="1" t="s">
        <v>95</v>
      </c>
      <c r="D165" s="1" t="s">
        <v>84</v>
      </c>
      <c r="E165" s="1" t="s">
        <v>64</v>
      </c>
      <c r="F165" s="1" t="s">
        <v>25</v>
      </c>
      <c r="G165" s="1" t="s">
        <v>69</v>
      </c>
      <c r="H165" s="1">
        <v>1</v>
      </c>
      <c r="I165" s="1">
        <v>2199</v>
      </c>
      <c r="J165" s="1">
        <v>2199</v>
      </c>
      <c r="K165" s="1" t="s">
        <v>17</v>
      </c>
    </row>
    <row r="166" spans="1:11">
      <c r="A166" s="1" t="s">
        <v>441</v>
      </c>
      <c r="B166" s="3">
        <v>46055</v>
      </c>
      <c r="C166" s="1" t="s">
        <v>12</v>
      </c>
      <c r="D166" s="1" t="s">
        <v>442</v>
      </c>
      <c r="E166" s="1" t="s">
        <v>14</v>
      </c>
      <c r="F166" s="1" t="s">
        <v>22</v>
      </c>
      <c r="G166" s="1" t="s">
        <v>196</v>
      </c>
      <c r="H166" s="1">
        <v>1</v>
      </c>
      <c r="I166" s="1">
        <v>2499</v>
      </c>
      <c r="J166" s="1">
        <v>2499</v>
      </c>
      <c r="K166" s="1" t="s">
        <v>17</v>
      </c>
    </row>
    <row r="167" spans="1:11">
      <c r="A167" s="1" t="s">
        <v>443</v>
      </c>
      <c r="B167" s="3">
        <v>46064</v>
      </c>
      <c r="C167" s="1" t="s">
        <v>444</v>
      </c>
      <c r="D167" s="1" t="s">
        <v>445</v>
      </c>
      <c r="E167" s="1" t="s">
        <v>104</v>
      </c>
      <c r="F167" s="1" t="s">
        <v>22</v>
      </c>
      <c r="G167" s="1" t="s">
        <v>196</v>
      </c>
      <c r="H167" s="1">
        <v>1</v>
      </c>
      <c r="I167" s="1">
        <v>2499</v>
      </c>
      <c r="J167" s="1">
        <v>2499</v>
      </c>
      <c r="K167" s="1" t="s">
        <v>17</v>
      </c>
    </row>
    <row r="168" spans="1:11">
      <c r="A168" s="1" t="s">
        <v>446</v>
      </c>
      <c r="B168" s="3">
        <v>46060</v>
      </c>
      <c r="C168" s="1" t="s">
        <v>285</v>
      </c>
      <c r="D168" s="1" t="s">
        <v>286</v>
      </c>
      <c r="E168" s="1" t="s">
        <v>73</v>
      </c>
      <c r="F168" s="1" t="s">
        <v>447</v>
      </c>
      <c r="G168" s="1" t="s">
        <v>52</v>
      </c>
      <c r="H168" s="1">
        <v>1</v>
      </c>
      <c r="I168" s="1">
        <v>899</v>
      </c>
      <c r="J168" s="1">
        <v>899</v>
      </c>
      <c r="K168" s="1" t="s">
        <v>17</v>
      </c>
    </row>
    <row r="169" spans="1:11">
      <c r="A169" s="1" t="s">
        <v>448</v>
      </c>
      <c r="B169" s="3">
        <v>46063</v>
      </c>
      <c r="C169" s="1" t="s">
        <v>75</v>
      </c>
      <c r="D169" s="1" t="s">
        <v>76</v>
      </c>
      <c r="E169" s="1" t="s">
        <v>85</v>
      </c>
      <c r="F169" s="1" t="s">
        <v>15</v>
      </c>
      <c r="G169" s="1" t="s">
        <v>52</v>
      </c>
      <c r="H169" s="1">
        <v>3</v>
      </c>
      <c r="I169" s="1">
        <v>899</v>
      </c>
      <c r="J169" s="1">
        <v>2697</v>
      </c>
      <c r="K169" s="1" t="s">
        <v>17</v>
      </c>
    </row>
    <row r="170" spans="1:11">
      <c r="A170" s="1" t="s">
        <v>449</v>
      </c>
      <c r="B170" s="3">
        <v>46144</v>
      </c>
      <c r="C170" s="1" t="s">
        <v>450</v>
      </c>
      <c r="D170" s="1" t="s">
        <v>451</v>
      </c>
      <c r="E170" s="1" t="s">
        <v>64</v>
      </c>
      <c r="F170" s="1" t="s">
        <v>452</v>
      </c>
      <c r="G170" s="1" t="s">
        <v>151</v>
      </c>
      <c r="H170" s="1">
        <v>2</v>
      </c>
      <c r="I170" s="1">
        <v>799</v>
      </c>
      <c r="J170" s="1">
        <v>1598</v>
      </c>
      <c r="K170" s="1" t="s">
        <v>17</v>
      </c>
    </row>
    <row r="171" spans="1:11">
      <c r="A171" s="1" t="s">
        <v>453</v>
      </c>
      <c r="B171" s="3">
        <v>46148</v>
      </c>
      <c r="C171" s="1" t="s">
        <v>454</v>
      </c>
      <c r="D171" s="1" t="s">
        <v>227</v>
      </c>
      <c r="E171" s="1" t="s">
        <v>64</v>
      </c>
      <c r="F171" s="1" t="s">
        <v>25</v>
      </c>
      <c r="G171" s="1" t="s">
        <v>69</v>
      </c>
      <c r="H171" s="1">
        <v>1</v>
      </c>
      <c r="I171" s="1">
        <v>2199</v>
      </c>
      <c r="J171" s="1">
        <v>2199</v>
      </c>
      <c r="K171" s="1" t="s">
        <v>17</v>
      </c>
    </row>
    <row r="172" spans="1:11">
      <c r="A172" s="1" t="s">
        <v>455</v>
      </c>
      <c r="B172" s="3">
        <v>46201</v>
      </c>
      <c r="C172" s="1" t="s">
        <v>456</v>
      </c>
      <c r="D172" s="1" t="s">
        <v>457</v>
      </c>
      <c r="E172" s="1" t="s">
        <v>73</v>
      </c>
      <c r="F172" s="1" t="s">
        <v>15</v>
      </c>
      <c r="G172" s="1" t="s">
        <v>52</v>
      </c>
      <c r="H172" s="1">
        <v>1</v>
      </c>
      <c r="I172" s="1">
        <v>899</v>
      </c>
      <c r="J172" s="1">
        <v>899</v>
      </c>
      <c r="K172" s="1" t="s">
        <v>120</v>
      </c>
    </row>
    <row r="173" spans="1:11">
      <c r="A173" s="1" t="s">
        <v>458</v>
      </c>
      <c r="B173" s="3">
        <v>46152</v>
      </c>
      <c r="C173" s="1" t="s">
        <v>459</v>
      </c>
      <c r="D173" s="1" t="s">
        <v>460</v>
      </c>
      <c r="E173" s="1" t="s">
        <v>21</v>
      </c>
      <c r="F173" s="1" t="s">
        <v>22</v>
      </c>
      <c r="G173" s="1" t="s">
        <v>138</v>
      </c>
      <c r="H173" s="1">
        <v>2</v>
      </c>
      <c r="I173" s="1">
        <v>599</v>
      </c>
      <c r="J173" s="1">
        <v>1198</v>
      </c>
      <c r="K173" s="1" t="s">
        <v>17</v>
      </c>
    </row>
    <row r="174" spans="1:11">
      <c r="A174" s="1" t="s">
        <v>461</v>
      </c>
      <c r="B174" s="3">
        <v>46170</v>
      </c>
      <c r="C174" s="1" t="s">
        <v>366</v>
      </c>
      <c r="D174" s="1" t="s">
        <v>367</v>
      </c>
      <c r="E174" s="1" t="s">
        <v>30</v>
      </c>
      <c r="F174" s="1" t="s">
        <v>25</v>
      </c>
      <c r="G174" s="1" t="s">
        <v>26</v>
      </c>
      <c r="H174" s="1">
        <v>1</v>
      </c>
      <c r="I174" s="1">
        <v>1299</v>
      </c>
      <c r="J174" s="1">
        <v>1299</v>
      </c>
      <c r="K174" s="1" t="s">
        <v>220</v>
      </c>
    </row>
    <row r="175" spans="1:11">
      <c r="A175" s="1" t="s">
        <v>462</v>
      </c>
      <c r="B175" s="3">
        <v>46103</v>
      </c>
      <c r="C175" s="1" t="s">
        <v>268</v>
      </c>
      <c r="D175" s="1" t="s">
        <v>269</v>
      </c>
      <c r="E175" s="1" t="s">
        <v>21</v>
      </c>
      <c r="F175" s="1" t="s">
        <v>22</v>
      </c>
      <c r="G175" s="1" t="s">
        <v>43</v>
      </c>
      <c r="H175" s="1">
        <v>1</v>
      </c>
      <c r="I175" s="1">
        <v>1499</v>
      </c>
      <c r="J175" s="1">
        <v>1499</v>
      </c>
      <c r="K175" s="1" t="s">
        <v>17</v>
      </c>
    </row>
    <row r="176" spans="1:11">
      <c r="A176" s="1" t="s">
        <v>463</v>
      </c>
      <c r="B176" s="3">
        <v>46081</v>
      </c>
      <c r="C176" s="1" t="s">
        <v>400</v>
      </c>
      <c r="D176" s="1" t="s">
        <v>401</v>
      </c>
      <c r="E176" s="1" t="s">
        <v>21</v>
      </c>
      <c r="F176" s="1" t="s">
        <v>15</v>
      </c>
      <c r="G176" s="1" t="s">
        <v>162</v>
      </c>
      <c r="H176" s="1">
        <v>1</v>
      </c>
      <c r="I176" s="1">
        <v>1599</v>
      </c>
      <c r="J176" s="1">
        <v>1599</v>
      </c>
      <c r="K176" s="1" t="s">
        <v>17</v>
      </c>
    </row>
    <row r="177" spans="1:11">
      <c r="A177" s="1" t="s">
        <v>464</v>
      </c>
      <c r="B177" s="3">
        <v>46137</v>
      </c>
      <c r="C177" s="1" t="s">
        <v>95</v>
      </c>
      <c r="D177" s="1" t="s">
        <v>465</v>
      </c>
      <c r="E177" s="1" t="s">
        <v>64</v>
      </c>
      <c r="F177" s="1" t="s">
        <v>15</v>
      </c>
      <c r="G177" s="1" t="s">
        <v>162</v>
      </c>
      <c r="H177" s="1">
        <v>2</v>
      </c>
      <c r="I177" s="1">
        <v>1599</v>
      </c>
      <c r="J177" s="1">
        <v>3198</v>
      </c>
      <c r="K177" s="1" t="s">
        <v>17</v>
      </c>
    </row>
    <row r="178" spans="1:11">
      <c r="A178" s="1" t="s">
        <v>466</v>
      </c>
      <c r="B178" s="3">
        <v>46068</v>
      </c>
      <c r="C178" s="1" t="s">
        <v>467</v>
      </c>
      <c r="D178" s="1" t="s">
        <v>468</v>
      </c>
      <c r="E178" s="1" t="s">
        <v>217</v>
      </c>
      <c r="F178" s="1" t="s">
        <v>22</v>
      </c>
      <c r="G178" s="1" t="s">
        <v>23</v>
      </c>
      <c r="H178" s="1">
        <v>2</v>
      </c>
      <c r="I178" s="1">
        <v>3299</v>
      </c>
      <c r="J178" s="1">
        <v>6598</v>
      </c>
      <c r="K178" s="1" t="s">
        <v>120</v>
      </c>
    </row>
    <row r="179" spans="1:11">
      <c r="A179" s="1" t="s">
        <v>448</v>
      </c>
      <c r="B179" s="3">
        <v>46063</v>
      </c>
      <c r="C179" s="1" t="s">
        <v>75</v>
      </c>
      <c r="D179" s="1" t="s">
        <v>76</v>
      </c>
      <c r="E179" s="1" t="s">
        <v>85</v>
      </c>
      <c r="F179" s="1" t="s">
        <v>15</v>
      </c>
      <c r="G179" s="1" t="s">
        <v>52</v>
      </c>
      <c r="H179" s="1">
        <v>3</v>
      </c>
      <c r="I179" s="1">
        <v>899</v>
      </c>
      <c r="J179" s="1">
        <v>2697</v>
      </c>
      <c r="K179" s="1" t="s">
        <v>17</v>
      </c>
    </row>
    <row r="180" spans="1:11">
      <c r="A180" s="1" t="s">
        <v>469</v>
      </c>
      <c r="B180" s="3">
        <v>46086</v>
      </c>
      <c r="C180" s="1" t="s">
        <v>470</v>
      </c>
      <c r="D180" s="1" t="s">
        <v>471</v>
      </c>
      <c r="E180" s="1" t="s">
        <v>472</v>
      </c>
      <c r="F180" s="1" t="s">
        <v>36</v>
      </c>
      <c r="G180" s="1" t="s">
        <v>141</v>
      </c>
      <c r="H180" s="1">
        <v>1</v>
      </c>
      <c r="I180" s="1">
        <v>999</v>
      </c>
      <c r="J180" s="1">
        <v>999</v>
      </c>
      <c r="K180" s="1" t="s">
        <v>17</v>
      </c>
    </row>
    <row r="181" spans="1:11">
      <c r="A181" s="1" t="s">
        <v>473</v>
      </c>
      <c r="B181" s="3">
        <v>46160</v>
      </c>
      <c r="C181" s="1" t="s">
        <v>271</v>
      </c>
      <c r="D181" s="1" t="s">
        <v>272</v>
      </c>
      <c r="E181" s="1" t="s">
        <v>64</v>
      </c>
      <c r="F181" s="1" t="s">
        <v>22</v>
      </c>
      <c r="G181" s="1" t="s">
        <v>43</v>
      </c>
      <c r="H181" s="1">
        <v>1</v>
      </c>
      <c r="I181" s="1">
        <v>1499</v>
      </c>
      <c r="J181" s="1">
        <v>1499</v>
      </c>
      <c r="K181" s="1" t="s">
        <v>120</v>
      </c>
    </row>
    <row r="182" spans="1:11">
      <c r="A182" s="1" t="s">
        <v>474</v>
      </c>
      <c r="B182" s="3">
        <v>46176</v>
      </c>
      <c r="C182" s="1" t="s">
        <v>475</v>
      </c>
      <c r="D182" s="1" t="s">
        <v>84</v>
      </c>
      <c r="E182" s="1" t="s">
        <v>73</v>
      </c>
      <c r="F182" s="1" t="s">
        <v>22</v>
      </c>
      <c r="G182" s="1" t="s">
        <v>196</v>
      </c>
      <c r="H182" s="1">
        <v>2</v>
      </c>
      <c r="I182" s="1">
        <v>2499</v>
      </c>
      <c r="J182" s="1">
        <v>4998</v>
      </c>
      <c r="K182" s="1" t="s">
        <v>17</v>
      </c>
    </row>
    <row r="183" spans="1:11">
      <c r="A183" s="1" t="s">
        <v>476</v>
      </c>
      <c r="B183" s="1" t="s">
        <v>477</v>
      </c>
      <c r="C183" s="1" t="s">
        <v>241</v>
      </c>
      <c r="D183" s="1" t="s">
        <v>242</v>
      </c>
      <c r="E183" s="1" t="s">
        <v>89</v>
      </c>
      <c r="F183" s="1" t="s">
        <v>36</v>
      </c>
      <c r="G183" s="1" t="s">
        <v>37</v>
      </c>
      <c r="H183" s="1">
        <v>1</v>
      </c>
      <c r="I183" s="1">
        <v>2299</v>
      </c>
      <c r="J183" s="1">
        <v>2299</v>
      </c>
      <c r="K183" s="1" t="s">
        <v>17</v>
      </c>
    </row>
    <row r="184" spans="1:11">
      <c r="A184" s="1" t="s">
        <v>478</v>
      </c>
      <c r="B184" s="3">
        <v>46114</v>
      </c>
      <c r="C184" s="1" t="s">
        <v>386</v>
      </c>
      <c r="D184" s="1" t="s">
        <v>190</v>
      </c>
      <c r="E184" s="1" t="s">
        <v>217</v>
      </c>
      <c r="F184" s="1" t="s">
        <v>47</v>
      </c>
      <c r="G184" s="1" t="s">
        <v>128</v>
      </c>
      <c r="H184" s="1">
        <v>2</v>
      </c>
      <c r="I184" s="1">
        <v>1199</v>
      </c>
      <c r="J184" s="1">
        <v>2398</v>
      </c>
      <c r="K184" s="1" t="s">
        <v>17</v>
      </c>
    </row>
    <row r="185" spans="1:11">
      <c r="A185" s="1" t="s">
        <v>479</v>
      </c>
      <c r="B185" s="3">
        <v>46083</v>
      </c>
      <c r="C185" s="1" t="s">
        <v>480</v>
      </c>
      <c r="D185" s="1" t="s">
        <v>481</v>
      </c>
      <c r="E185" s="1" t="s">
        <v>21</v>
      </c>
      <c r="F185" s="1" t="s">
        <v>25</v>
      </c>
      <c r="G185" s="1" t="s">
        <v>69</v>
      </c>
      <c r="H185" s="1">
        <v>1</v>
      </c>
      <c r="I185" s="1">
        <v>2199</v>
      </c>
      <c r="J185" s="1">
        <v>2199</v>
      </c>
      <c r="K185" s="1" t="s">
        <v>17</v>
      </c>
    </row>
    <row r="186" spans="1:11">
      <c r="A186" s="1" t="s">
        <v>482</v>
      </c>
      <c r="B186" s="3">
        <v>46049</v>
      </c>
      <c r="C186" s="1" t="s">
        <v>483</v>
      </c>
      <c r="D186" s="1" t="s">
        <v>208</v>
      </c>
      <c r="E186" s="1" t="s">
        <v>484</v>
      </c>
      <c r="F186" s="1" t="s">
        <v>15</v>
      </c>
      <c r="G186" s="1" t="s">
        <v>16</v>
      </c>
      <c r="H186" s="1">
        <v>1</v>
      </c>
      <c r="I186" s="1">
        <v>1999</v>
      </c>
      <c r="J186" s="1" t="s">
        <v>233</v>
      </c>
      <c r="K186" s="1" t="s">
        <v>17</v>
      </c>
    </row>
    <row r="187" spans="1:11">
      <c r="A187" s="1" t="s">
        <v>485</v>
      </c>
      <c r="B187" s="3">
        <v>46074</v>
      </c>
      <c r="C187" s="1" t="s">
        <v>486</v>
      </c>
      <c r="D187" s="1" t="s">
        <v>487</v>
      </c>
      <c r="E187" s="1" t="s">
        <v>64</v>
      </c>
      <c r="F187" s="1" t="s">
        <v>47</v>
      </c>
      <c r="G187" s="1" t="s">
        <v>56</v>
      </c>
      <c r="H187" s="1">
        <v>3</v>
      </c>
      <c r="I187" s="1">
        <v>3499</v>
      </c>
      <c r="J187" s="1">
        <v>10497</v>
      </c>
      <c r="K187" s="1" t="s">
        <v>17</v>
      </c>
    </row>
    <row r="188" spans="1:11">
      <c r="A188" s="1" t="s">
        <v>488</v>
      </c>
      <c r="B188" s="3">
        <v>46143</v>
      </c>
      <c r="C188" s="1" t="s">
        <v>299</v>
      </c>
      <c r="D188" s="1" t="s">
        <v>300</v>
      </c>
      <c r="E188" s="1" t="s">
        <v>277</v>
      </c>
      <c r="F188" s="1" t="s">
        <v>25</v>
      </c>
      <c r="G188" s="1" t="s">
        <v>115</v>
      </c>
      <c r="H188" s="1">
        <v>1</v>
      </c>
      <c r="I188" s="1">
        <v>3999</v>
      </c>
      <c r="J188" s="1">
        <v>3999</v>
      </c>
      <c r="K188" s="1" t="s">
        <v>17</v>
      </c>
    </row>
    <row r="189" spans="1:11">
      <c r="A189" s="1" t="s">
        <v>489</v>
      </c>
      <c r="B189" s="3">
        <v>46097</v>
      </c>
      <c r="C189" s="1" t="s">
        <v>490</v>
      </c>
      <c r="D189" s="1" t="s">
        <v>491</v>
      </c>
      <c r="E189" s="1" t="s">
        <v>217</v>
      </c>
      <c r="F189" s="1" t="s">
        <v>15</v>
      </c>
      <c r="G189" s="1" t="s">
        <v>52</v>
      </c>
      <c r="H189" s="1">
        <v>3</v>
      </c>
      <c r="I189" s="1">
        <v>899</v>
      </c>
      <c r="J189" s="1">
        <v>2697</v>
      </c>
      <c r="K189" s="1" t="s">
        <v>17</v>
      </c>
    </row>
    <row r="190" spans="1:11">
      <c r="A190" s="1" t="s">
        <v>492</v>
      </c>
      <c r="B190" s="3">
        <v>46140</v>
      </c>
      <c r="C190" s="1" t="s">
        <v>155</v>
      </c>
      <c r="D190" s="1" t="s">
        <v>156</v>
      </c>
      <c r="E190" s="1" t="s">
        <v>89</v>
      </c>
      <c r="F190" s="1" t="s">
        <v>25</v>
      </c>
      <c r="G190" s="1" t="s">
        <v>69</v>
      </c>
      <c r="H190" s="1">
        <v>1</v>
      </c>
      <c r="I190" s="1">
        <v>2199</v>
      </c>
      <c r="J190" s="1">
        <v>2199</v>
      </c>
      <c r="K190" s="1" t="s">
        <v>38</v>
      </c>
    </row>
    <row r="191" spans="1:11">
      <c r="A191" s="1" t="s">
        <v>493</v>
      </c>
      <c r="B191" s="3">
        <v>46108</v>
      </c>
      <c r="C191" s="1" t="s">
        <v>238</v>
      </c>
      <c r="D191" s="1" t="s">
        <v>140</v>
      </c>
      <c r="E191" s="1" t="s">
        <v>73</v>
      </c>
      <c r="F191" s="1" t="s">
        <v>36</v>
      </c>
      <c r="G191" s="1" t="s">
        <v>151</v>
      </c>
      <c r="H191" s="1">
        <v>1</v>
      </c>
      <c r="I191" s="1">
        <v>799</v>
      </c>
      <c r="J191" s="1">
        <v>799</v>
      </c>
      <c r="K191" s="1" t="s">
        <v>222</v>
      </c>
    </row>
    <row r="192" spans="1:11">
      <c r="A192" s="1" t="s">
        <v>494</v>
      </c>
      <c r="B192" s="3">
        <v>46041</v>
      </c>
      <c r="C192" s="1" t="s">
        <v>324</v>
      </c>
      <c r="D192" s="1" t="s">
        <v>325</v>
      </c>
      <c r="E192" s="1" t="s">
        <v>30</v>
      </c>
      <c r="F192" s="1" t="s">
        <v>77</v>
      </c>
      <c r="G192" s="1" t="s">
        <v>26</v>
      </c>
      <c r="H192" s="1">
        <v>1</v>
      </c>
      <c r="I192" s="1">
        <v>1299</v>
      </c>
      <c r="J192" s="1">
        <v>1299</v>
      </c>
      <c r="K192" s="1" t="s">
        <v>17</v>
      </c>
    </row>
    <row r="193" spans="1:11">
      <c r="A193" s="1" t="s">
        <v>495</v>
      </c>
      <c r="B193" s="3">
        <v>46188</v>
      </c>
      <c r="C193" s="1" t="s">
        <v>353</v>
      </c>
      <c r="D193" s="1" t="s">
        <v>354</v>
      </c>
      <c r="E193" s="1" t="s">
        <v>14</v>
      </c>
      <c r="F193" s="1" t="s">
        <v>25</v>
      </c>
      <c r="G193" s="1" t="s">
        <v>115</v>
      </c>
      <c r="H193" s="1">
        <v>2</v>
      </c>
      <c r="I193" s="1">
        <v>3999</v>
      </c>
      <c r="J193" s="1">
        <v>7998</v>
      </c>
      <c r="K193" s="1" t="s">
        <v>17</v>
      </c>
    </row>
    <row r="194" spans="1:11">
      <c r="A194" s="1" t="s">
        <v>496</v>
      </c>
      <c r="B194" s="3">
        <v>46176</v>
      </c>
      <c r="C194" s="1" t="s">
        <v>497</v>
      </c>
      <c r="D194" s="1" t="s">
        <v>114</v>
      </c>
      <c r="E194" s="1" t="s">
        <v>104</v>
      </c>
      <c r="F194" s="1" t="s">
        <v>127</v>
      </c>
      <c r="G194" s="1" t="s">
        <v>48</v>
      </c>
      <c r="H194" s="1">
        <v>1</v>
      </c>
      <c r="I194" s="1">
        <v>499</v>
      </c>
      <c r="J194" s="1">
        <v>499</v>
      </c>
      <c r="K194" s="1" t="s">
        <v>78</v>
      </c>
    </row>
    <row r="195" spans="1:11">
      <c r="A195" s="1" t="s">
        <v>498</v>
      </c>
      <c r="B195" s="3">
        <v>46041</v>
      </c>
      <c r="C195" s="1" t="s">
        <v>499</v>
      </c>
      <c r="D195" s="1" t="s">
        <v>59</v>
      </c>
      <c r="E195" s="1" t="s">
        <v>247</v>
      </c>
      <c r="F195" s="1" t="s">
        <v>25</v>
      </c>
      <c r="G195" s="1" t="s">
        <v>31</v>
      </c>
      <c r="H195" s="1">
        <v>1</v>
      </c>
      <c r="I195" s="1">
        <v>1799</v>
      </c>
      <c r="J195" s="1">
        <v>1799</v>
      </c>
      <c r="K195" s="1" t="s">
        <v>220</v>
      </c>
    </row>
    <row r="196" spans="1:11">
      <c r="A196" s="1" t="s">
        <v>500</v>
      </c>
      <c r="B196" s="3">
        <v>46125</v>
      </c>
      <c r="C196" s="1" t="s">
        <v>164</v>
      </c>
      <c r="D196" s="1" t="s">
        <v>501</v>
      </c>
      <c r="E196" s="1" t="s">
        <v>104</v>
      </c>
      <c r="F196" s="1" t="s">
        <v>15</v>
      </c>
      <c r="G196" s="1" t="s">
        <v>16</v>
      </c>
      <c r="H196" s="1">
        <v>2</v>
      </c>
      <c r="I196" s="1">
        <v>1999</v>
      </c>
      <c r="J196" s="1"/>
      <c r="K196" s="1" t="s">
        <v>17</v>
      </c>
    </row>
    <row r="197" spans="1:11">
      <c r="A197" s="1" t="s">
        <v>502</v>
      </c>
      <c r="B197" s="3">
        <v>46143</v>
      </c>
      <c r="C197" s="1" t="s">
        <v>98</v>
      </c>
      <c r="D197" s="1" t="s">
        <v>99</v>
      </c>
      <c r="E197" s="1" t="s">
        <v>64</v>
      </c>
      <c r="F197" s="1" t="s">
        <v>22</v>
      </c>
      <c r="G197" s="1" t="s">
        <v>138</v>
      </c>
      <c r="H197" s="1">
        <v>3</v>
      </c>
      <c r="I197" s="1">
        <v>599</v>
      </c>
      <c r="J197" s="1">
        <v>1797</v>
      </c>
      <c r="K197" s="1" t="s">
        <v>78</v>
      </c>
    </row>
    <row r="198" spans="1:11">
      <c r="A198" s="1" t="s">
        <v>503</v>
      </c>
      <c r="B198" s="3">
        <v>46186</v>
      </c>
      <c r="C198" s="1" t="s">
        <v>504</v>
      </c>
      <c r="D198" s="1" t="s">
        <v>505</v>
      </c>
      <c r="E198" s="1" t="s">
        <v>217</v>
      </c>
      <c r="F198" s="1" t="s">
        <v>25</v>
      </c>
      <c r="G198" s="1" t="s">
        <v>115</v>
      </c>
      <c r="H198" s="1">
        <v>1</v>
      </c>
      <c r="I198" s="1">
        <v>3999</v>
      </c>
      <c r="J198" s="1">
        <v>3999</v>
      </c>
      <c r="K198" s="1" t="s">
        <v>17</v>
      </c>
    </row>
    <row r="199" spans="1:11">
      <c r="A199" s="1" t="s">
        <v>506</v>
      </c>
      <c r="B199" s="3">
        <v>46075</v>
      </c>
      <c r="C199" s="1" t="s">
        <v>507</v>
      </c>
      <c r="D199" s="1" t="s">
        <v>508</v>
      </c>
      <c r="E199" s="1" t="s">
        <v>30</v>
      </c>
      <c r="F199" s="1" t="s">
        <v>36</v>
      </c>
      <c r="G199" s="1" t="s">
        <v>151</v>
      </c>
      <c r="H199" s="1">
        <v>2</v>
      </c>
      <c r="I199" s="1">
        <v>799</v>
      </c>
      <c r="J199" s="1">
        <v>1598</v>
      </c>
      <c r="K199" s="1" t="s">
        <v>17</v>
      </c>
    </row>
    <row r="200" spans="1:11">
      <c r="A200" s="1" t="s">
        <v>509</v>
      </c>
      <c r="B200" s="3">
        <v>46038</v>
      </c>
      <c r="C200" s="1" t="s">
        <v>510</v>
      </c>
      <c r="D200" s="1" t="s">
        <v>511</v>
      </c>
      <c r="E200" s="1"/>
      <c r="F200" s="1" t="s">
        <v>47</v>
      </c>
      <c r="G200" s="1" t="s">
        <v>128</v>
      </c>
      <c r="H200" s="1">
        <v>1</v>
      </c>
      <c r="I200" s="1">
        <v>1199</v>
      </c>
      <c r="J200" s="1">
        <v>1199</v>
      </c>
      <c r="K200" s="1" t="s">
        <v>17</v>
      </c>
    </row>
    <row r="201" spans="1:11">
      <c r="A201" s="1" t="s">
        <v>512</v>
      </c>
      <c r="B201" s="3">
        <v>46073</v>
      </c>
      <c r="C201" s="1" t="s">
        <v>189</v>
      </c>
      <c r="D201" s="1" t="s">
        <v>190</v>
      </c>
      <c r="E201" s="1" t="s">
        <v>513</v>
      </c>
      <c r="F201" s="1" t="s">
        <v>25</v>
      </c>
      <c r="G201" s="1" t="s">
        <v>31</v>
      </c>
      <c r="H201" s="1">
        <v>1</v>
      </c>
      <c r="I201" s="1">
        <v>1799</v>
      </c>
      <c r="J201" s="1">
        <v>1799</v>
      </c>
      <c r="K201" s="1" t="s">
        <v>17</v>
      </c>
    </row>
    <row r="202" spans="1:11">
      <c r="A202" s="1" t="s">
        <v>514</v>
      </c>
      <c r="B202" s="3">
        <v>46148</v>
      </c>
      <c r="C202" s="1" t="s">
        <v>304</v>
      </c>
      <c r="D202" s="1" t="s">
        <v>305</v>
      </c>
      <c r="E202" s="1" t="s">
        <v>21</v>
      </c>
      <c r="F202" s="1" t="s">
        <v>47</v>
      </c>
      <c r="G202" s="1" t="s">
        <v>56</v>
      </c>
      <c r="H202" s="1">
        <v>2</v>
      </c>
      <c r="I202" s="1">
        <v>3499</v>
      </c>
      <c r="J202" s="1">
        <v>6998</v>
      </c>
      <c r="K202" s="1" t="s">
        <v>17</v>
      </c>
    </row>
    <row r="203" spans="1:11">
      <c r="A203" s="1" t="s">
        <v>515</v>
      </c>
      <c r="B203" s="3">
        <v>46068</v>
      </c>
      <c r="C203" s="1" t="s">
        <v>149</v>
      </c>
      <c r="D203" s="1" t="s">
        <v>150</v>
      </c>
      <c r="E203" s="1" t="s">
        <v>73</v>
      </c>
      <c r="F203" s="1" t="s">
        <v>15</v>
      </c>
      <c r="G203" s="1" t="s">
        <v>162</v>
      </c>
      <c r="H203" s="1">
        <v>1</v>
      </c>
      <c r="I203" s="1">
        <v>1599</v>
      </c>
      <c r="J203" s="1">
        <v>1599</v>
      </c>
      <c r="K203" s="1" t="s">
        <v>17</v>
      </c>
    </row>
    <row r="204" spans="1:11">
      <c r="A204" s="1" t="s">
        <v>516</v>
      </c>
      <c r="B204" s="3">
        <v>46143</v>
      </c>
      <c r="C204" s="1" t="s">
        <v>149</v>
      </c>
      <c r="D204" s="1" t="s">
        <v>150</v>
      </c>
      <c r="E204" s="1" t="s">
        <v>73</v>
      </c>
      <c r="F204" s="1" t="s">
        <v>22</v>
      </c>
      <c r="G204" s="1" t="s">
        <v>138</v>
      </c>
      <c r="H204" s="1">
        <v>1</v>
      </c>
      <c r="I204" s="1">
        <v>599</v>
      </c>
      <c r="J204" s="1">
        <v>599</v>
      </c>
      <c r="K204" s="1" t="s">
        <v>78</v>
      </c>
    </row>
    <row r="205" spans="1:11">
      <c r="A205" s="1" t="s">
        <v>517</v>
      </c>
      <c r="B205" s="3">
        <v>46082</v>
      </c>
      <c r="C205" s="1" t="s">
        <v>249</v>
      </c>
      <c r="D205" s="1" t="s">
        <v>250</v>
      </c>
      <c r="E205" s="1" t="s">
        <v>217</v>
      </c>
      <c r="F205" s="1" t="s">
        <v>22</v>
      </c>
      <c r="G205" s="1" t="s">
        <v>43</v>
      </c>
      <c r="H205" s="1">
        <v>1</v>
      </c>
      <c r="I205" s="1">
        <v>1499</v>
      </c>
      <c r="J205" s="1">
        <v>1499</v>
      </c>
      <c r="K205" s="1" t="s">
        <v>17</v>
      </c>
    </row>
    <row r="206" spans="1:11">
      <c r="A206" s="1" t="s">
        <v>518</v>
      </c>
      <c r="B206" s="3">
        <v>46057</v>
      </c>
      <c r="C206" s="1" t="s">
        <v>400</v>
      </c>
      <c r="D206" s="1" t="s">
        <v>401</v>
      </c>
      <c r="E206" s="1" t="s">
        <v>21</v>
      </c>
      <c r="F206" s="1" t="s">
        <v>36</v>
      </c>
      <c r="G206" s="1" t="s">
        <v>37</v>
      </c>
      <c r="H206" s="1">
        <v>2</v>
      </c>
      <c r="I206" s="1">
        <v>2299</v>
      </c>
      <c r="J206" s="1">
        <v>4598</v>
      </c>
      <c r="K206" s="1" t="s">
        <v>17</v>
      </c>
    </row>
    <row r="207" spans="1:11">
      <c r="A207" s="1" t="s">
        <v>519</v>
      </c>
      <c r="B207" s="3">
        <v>46062</v>
      </c>
      <c r="C207" s="1" t="s">
        <v>226</v>
      </c>
      <c r="D207" s="1" t="s">
        <v>227</v>
      </c>
      <c r="E207" s="1" t="s">
        <v>30</v>
      </c>
      <c r="F207" s="1" t="s">
        <v>15</v>
      </c>
      <c r="G207" s="1" t="s">
        <v>162</v>
      </c>
      <c r="H207" s="1">
        <v>2</v>
      </c>
      <c r="I207" s="1">
        <v>1599</v>
      </c>
      <c r="J207" s="1">
        <v>3198</v>
      </c>
      <c r="K207" s="1" t="s">
        <v>17</v>
      </c>
    </row>
    <row r="208" spans="1:11">
      <c r="A208" s="1" t="s">
        <v>520</v>
      </c>
      <c r="B208" s="3">
        <v>46058</v>
      </c>
      <c r="C208" s="1" t="s">
        <v>450</v>
      </c>
      <c r="D208" s="1" t="s">
        <v>451</v>
      </c>
      <c r="E208" s="1" t="s">
        <v>64</v>
      </c>
      <c r="F208" s="1" t="s">
        <v>25</v>
      </c>
      <c r="G208" s="1" t="s">
        <v>115</v>
      </c>
      <c r="H208" s="1">
        <v>2</v>
      </c>
      <c r="I208" s="1">
        <v>3999</v>
      </c>
      <c r="J208" s="1">
        <v>7998</v>
      </c>
      <c r="K208" s="1" t="s">
        <v>17</v>
      </c>
    </row>
    <row r="209" spans="1:11">
      <c r="A209" s="1" t="s">
        <v>521</v>
      </c>
      <c r="B209" s="3">
        <v>46176</v>
      </c>
      <c r="C209" s="1" t="s">
        <v>226</v>
      </c>
      <c r="D209" s="1" t="s">
        <v>227</v>
      </c>
      <c r="E209" s="1" t="s">
        <v>30</v>
      </c>
      <c r="F209" s="1" t="s">
        <v>15</v>
      </c>
      <c r="G209" s="1" t="s">
        <v>16</v>
      </c>
      <c r="H209" s="1">
        <v>1</v>
      </c>
      <c r="I209" s="1">
        <v>1999</v>
      </c>
      <c r="J209" s="1">
        <v>1999</v>
      </c>
      <c r="K209" s="1" t="s">
        <v>17</v>
      </c>
    </row>
    <row r="210" spans="1:11">
      <c r="A210" s="1" t="s">
        <v>522</v>
      </c>
      <c r="B210" s="3">
        <v>46198</v>
      </c>
      <c r="C210" s="1" t="s">
        <v>283</v>
      </c>
      <c r="D210" s="1" t="s">
        <v>227</v>
      </c>
      <c r="E210" s="1" t="s">
        <v>104</v>
      </c>
      <c r="F210" s="1" t="s">
        <v>47</v>
      </c>
      <c r="G210" s="1" t="s">
        <v>100</v>
      </c>
      <c r="H210" s="1">
        <v>1</v>
      </c>
      <c r="I210" s="1">
        <v>2799</v>
      </c>
      <c r="J210" s="1">
        <v>2799</v>
      </c>
      <c r="K210" s="1" t="s">
        <v>17</v>
      </c>
    </row>
    <row r="211" spans="1:11">
      <c r="A211" s="1" t="s">
        <v>523</v>
      </c>
      <c r="B211" s="3">
        <v>46048</v>
      </c>
      <c r="C211" s="1" t="s">
        <v>198</v>
      </c>
      <c r="D211" s="1" t="s">
        <v>88</v>
      </c>
      <c r="E211" s="1" t="s">
        <v>30</v>
      </c>
      <c r="F211" s="1" t="s">
        <v>47</v>
      </c>
      <c r="G211" s="1" t="s">
        <v>48</v>
      </c>
      <c r="H211" s="1">
        <v>1</v>
      </c>
      <c r="I211" s="1">
        <v>499</v>
      </c>
      <c r="J211" s="1">
        <v>499</v>
      </c>
      <c r="K211" s="1" t="s">
        <v>17</v>
      </c>
    </row>
    <row r="212" spans="1:11">
      <c r="A212" s="1" t="s">
        <v>524</v>
      </c>
      <c r="B212" s="3">
        <v>46044</v>
      </c>
      <c r="C212" s="1" t="s">
        <v>226</v>
      </c>
      <c r="D212" s="1" t="s">
        <v>227</v>
      </c>
      <c r="E212" s="1" t="s">
        <v>30</v>
      </c>
      <c r="F212" s="1" t="s">
        <v>15</v>
      </c>
      <c r="G212" s="1" t="s">
        <v>52</v>
      </c>
      <c r="H212" s="1">
        <v>1</v>
      </c>
      <c r="I212" s="1">
        <v>899</v>
      </c>
      <c r="J212" s="1">
        <v>899</v>
      </c>
      <c r="K212" s="1" t="s">
        <v>17</v>
      </c>
    </row>
    <row r="213" spans="1:11">
      <c r="A213" s="1" t="s">
        <v>525</v>
      </c>
      <c r="B213" s="3">
        <v>46194</v>
      </c>
      <c r="C213" s="1" t="s">
        <v>526</v>
      </c>
      <c r="D213" s="1" t="s">
        <v>55</v>
      </c>
      <c r="E213" s="1" t="s">
        <v>30</v>
      </c>
      <c r="F213" s="1" t="s">
        <v>108</v>
      </c>
      <c r="G213" s="1" t="s">
        <v>37</v>
      </c>
      <c r="H213" s="1">
        <v>1</v>
      </c>
      <c r="I213" s="1">
        <v>2299</v>
      </c>
      <c r="J213" s="1">
        <v>2299</v>
      </c>
      <c r="K213" s="1" t="s">
        <v>17</v>
      </c>
    </row>
    <row r="214" spans="1:11">
      <c r="A214" s="1" t="s">
        <v>527</v>
      </c>
      <c r="B214" s="3">
        <v>46092</v>
      </c>
      <c r="C214" s="1" t="s">
        <v>160</v>
      </c>
      <c r="D214" s="1" t="s">
        <v>528</v>
      </c>
      <c r="E214" s="1" t="s">
        <v>64</v>
      </c>
      <c r="F214" s="1" t="s">
        <v>47</v>
      </c>
      <c r="G214" s="1" t="s">
        <v>128</v>
      </c>
      <c r="H214" s="1">
        <v>2</v>
      </c>
      <c r="I214" s="1">
        <v>1199</v>
      </c>
      <c r="J214" s="1">
        <v>2398</v>
      </c>
      <c r="K214" s="1" t="s">
        <v>220</v>
      </c>
    </row>
    <row r="215" spans="1:11">
      <c r="A215" s="1" t="s">
        <v>529</v>
      </c>
      <c r="B215" s="3">
        <v>46163</v>
      </c>
      <c r="C215" s="1" t="s">
        <v>530</v>
      </c>
      <c r="D215" s="1" t="s">
        <v>245</v>
      </c>
      <c r="E215" s="1" t="s">
        <v>73</v>
      </c>
      <c r="F215" s="1" t="s">
        <v>15</v>
      </c>
      <c r="G215" s="1" t="s">
        <v>52</v>
      </c>
      <c r="H215" s="1">
        <v>1</v>
      </c>
      <c r="I215" s="1">
        <v>899</v>
      </c>
      <c r="J215" s="1">
        <v>899</v>
      </c>
      <c r="K215" s="1" t="s">
        <v>17</v>
      </c>
    </row>
    <row r="216" spans="1:11">
      <c r="A216" s="1" t="s">
        <v>531</v>
      </c>
      <c r="B216" s="3">
        <v>46093</v>
      </c>
      <c r="C216" s="1" t="s">
        <v>499</v>
      </c>
      <c r="D216" s="1" t="s">
        <v>59</v>
      </c>
      <c r="E216" s="1" t="s">
        <v>21</v>
      </c>
      <c r="F216" s="1" t="s">
        <v>47</v>
      </c>
      <c r="G216" s="1" t="s">
        <v>48</v>
      </c>
      <c r="H216" s="1">
        <v>1</v>
      </c>
      <c r="I216" s="1">
        <v>499</v>
      </c>
      <c r="J216" s="1">
        <v>499</v>
      </c>
      <c r="K216" s="1" t="s">
        <v>17</v>
      </c>
    </row>
    <row r="217" spans="1:11">
      <c r="A217" s="1" t="s">
        <v>532</v>
      </c>
      <c r="B217" s="3">
        <v>46057</v>
      </c>
      <c r="C217" s="1" t="s">
        <v>252</v>
      </c>
      <c r="D217" s="1" t="s">
        <v>253</v>
      </c>
      <c r="E217" s="1" t="s">
        <v>104</v>
      </c>
      <c r="F217" s="1" t="s">
        <v>15</v>
      </c>
      <c r="G217" s="1" t="s">
        <v>162</v>
      </c>
      <c r="H217" s="1">
        <v>1</v>
      </c>
      <c r="I217" s="1">
        <v>1599</v>
      </c>
      <c r="J217" s="1">
        <v>1599</v>
      </c>
      <c r="K217" s="1" t="s">
        <v>17</v>
      </c>
    </row>
    <row r="218" spans="1:11">
      <c r="A218" s="1" t="s">
        <v>533</v>
      </c>
      <c r="B218" s="3">
        <v>46126</v>
      </c>
      <c r="C218" s="1" t="s">
        <v>342</v>
      </c>
      <c r="D218" s="1" t="s">
        <v>177</v>
      </c>
      <c r="E218" s="1"/>
      <c r="F218" s="1" t="s">
        <v>47</v>
      </c>
      <c r="G218" s="1" t="s">
        <v>48</v>
      </c>
      <c r="H218" s="1">
        <v>1</v>
      </c>
      <c r="I218" s="1">
        <v>499</v>
      </c>
      <c r="J218" s="1">
        <v>499</v>
      </c>
      <c r="K218" s="1" t="s">
        <v>17</v>
      </c>
    </row>
    <row r="219" spans="1:11">
      <c r="A219" s="1" t="s">
        <v>534</v>
      </c>
      <c r="B219" s="3">
        <v>46067</v>
      </c>
      <c r="C219" s="1" t="s">
        <v>342</v>
      </c>
      <c r="D219" s="1" t="s">
        <v>177</v>
      </c>
      <c r="E219" s="1" t="s">
        <v>104</v>
      </c>
      <c r="F219" s="1" t="s">
        <v>36</v>
      </c>
      <c r="G219" s="1" t="s">
        <v>37</v>
      </c>
      <c r="H219" s="1">
        <v>2</v>
      </c>
      <c r="I219" s="1">
        <v>2299</v>
      </c>
      <c r="J219" s="1">
        <v>4598</v>
      </c>
      <c r="K219" s="1" t="s">
        <v>17</v>
      </c>
    </row>
    <row r="220" spans="1:11">
      <c r="A220" s="1" t="s">
        <v>535</v>
      </c>
      <c r="B220" s="3">
        <v>46066</v>
      </c>
      <c r="C220" s="1" t="s">
        <v>122</v>
      </c>
      <c r="D220" s="1" t="s">
        <v>123</v>
      </c>
      <c r="E220" s="1" t="s">
        <v>14</v>
      </c>
      <c r="F220" s="1" t="s">
        <v>36</v>
      </c>
      <c r="G220" s="1" t="s">
        <v>141</v>
      </c>
      <c r="H220" s="1">
        <v>2</v>
      </c>
      <c r="I220" s="1">
        <v>999</v>
      </c>
      <c r="J220" s="1">
        <v>1998</v>
      </c>
      <c r="K220" s="1" t="s">
        <v>17</v>
      </c>
    </row>
    <row r="221" spans="1:11">
      <c r="A221" s="1" t="s">
        <v>536</v>
      </c>
      <c r="B221" s="3">
        <v>46143</v>
      </c>
      <c r="C221" s="1" t="s">
        <v>149</v>
      </c>
      <c r="D221" s="1" t="s">
        <v>150</v>
      </c>
      <c r="E221" s="1" t="s">
        <v>73</v>
      </c>
      <c r="F221" s="1" t="s">
        <v>36</v>
      </c>
      <c r="G221" s="1" t="s">
        <v>37</v>
      </c>
      <c r="H221" s="1">
        <v>1</v>
      </c>
      <c r="I221" s="1">
        <v>2299</v>
      </c>
      <c r="J221" s="1">
        <v>2299</v>
      </c>
      <c r="K221" s="1" t="s">
        <v>17</v>
      </c>
    </row>
    <row r="222" spans="1:11">
      <c r="A222" s="1" t="s">
        <v>537</v>
      </c>
      <c r="B222" s="3">
        <v>46052</v>
      </c>
      <c r="C222" s="1" t="s">
        <v>430</v>
      </c>
      <c r="D222" s="1" t="s">
        <v>431</v>
      </c>
      <c r="E222" s="1" t="s">
        <v>104</v>
      </c>
      <c r="F222" s="1" t="s">
        <v>47</v>
      </c>
      <c r="G222" s="1" t="s">
        <v>56</v>
      </c>
      <c r="H222" s="1">
        <v>1</v>
      </c>
      <c r="I222" s="1">
        <v>3499</v>
      </c>
      <c r="J222" s="1">
        <v>3499</v>
      </c>
      <c r="K222" s="1" t="s">
        <v>310</v>
      </c>
    </row>
    <row r="223" spans="1:11">
      <c r="A223" s="1" t="s">
        <v>538</v>
      </c>
      <c r="B223" s="3">
        <v>46153</v>
      </c>
      <c r="C223" s="1" t="s">
        <v>249</v>
      </c>
      <c r="D223" s="1" t="s">
        <v>539</v>
      </c>
      <c r="E223" s="1" t="s">
        <v>217</v>
      </c>
      <c r="F223" s="1" t="s">
        <v>36</v>
      </c>
      <c r="G223" s="1" t="s">
        <v>37</v>
      </c>
      <c r="H223" s="1">
        <v>1</v>
      </c>
      <c r="I223" s="1">
        <v>2299</v>
      </c>
      <c r="J223" s="1">
        <v>2299</v>
      </c>
      <c r="K223" s="1" t="s">
        <v>17</v>
      </c>
    </row>
    <row r="224" spans="1:11">
      <c r="A224" s="1" t="s">
        <v>540</v>
      </c>
      <c r="B224" s="3">
        <v>46198</v>
      </c>
      <c r="C224" s="1" t="s">
        <v>475</v>
      </c>
      <c r="D224" s="1" t="s">
        <v>84</v>
      </c>
      <c r="E224" s="1" t="s">
        <v>541</v>
      </c>
      <c r="F224" s="1" t="s">
        <v>15</v>
      </c>
      <c r="G224" s="1" t="s">
        <v>162</v>
      </c>
      <c r="H224" s="1">
        <v>1</v>
      </c>
      <c r="I224" s="1">
        <v>1599</v>
      </c>
      <c r="J224" s="1">
        <v>1599</v>
      </c>
      <c r="K224" s="1" t="s">
        <v>17</v>
      </c>
    </row>
    <row r="225" spans="1:11">
      <c r="A225" s="1" t="s">
        <v>542</v>
      </c>
      <c r="B225" s="3">
        <v>46166</v>
      </c>
      <c r="C225" s="1" t="s">
        <v>122</v>
      </c>
      <c r="D225" s="1" t="s">
        <v>123</v>
      </c>
      <c r="E225" s="1" t="s">
        <v>14</v>
      </c>
      <c r="F225" s="1" t="s">
        <v>15</v>
      </c>
      <c r="G225" s="1" t="s">
        <v>52</v>
      </c>
      <c r="H225" s="1">
        <v>2</v>
      </c>
      <c r="I225" s="1">
        <v>899</v>
      </c>
      <c r="J225" s="1">
        <v>1798</v>
      </c>
      <c r="K225" s="1" t="s">
        <v>17</v>
      </c>
    </row>
    <row r="226" spans="1:11">
      <c r="A226" s="1" t="s">
        <v>543</v>
      </c>
      <c r="B226" s="3">
        <v>46192</v>
      </c>
      <c r="C226" s="1" t="s">
        <v>544</v>
      </c>
      <c r="D226" s="1" t="s">
        <v>545</v>
      </c>
      <c r="E226" s="1" t="s">
        <v>14</v>
      </c>
      <c r="F226" s="1" t="s">
        <v>22</v>
      </c>
      <c r="G226" s="1" t="s">
        <v>138</v>
      </c>
      <c r="H226" s="1">
        <v>1</v>
      </c>
      <c r="I226" s="1">
        <v>599</v>
      </c>
      <c r="J226" s="1">
        <v>599</v>
      </c>
      <c r="K226" s="1" t="s">
        <v>17</v>
      </c>
    </row>
    <row r="227" spans="1:11">
      <c r="A227" s="1" t="s">
        <v>546</v>
      </c>
      <c r="B227" s="3">
        <v>46045</v>
      </c>
      <c r="C227" s="1" t="s">
        <v>405</v>
      </c>
      <c r="D227" s="1" t="s">
        <v>406</v>
      </c>
      <c r="E227" s="1" t="s">
        <v>89</v>
      </c>
      <c r="F227" s="1" t="s">
        <v>47</v>
      </c>
      <c r="G227" s="1" t="s">
        <v>128</v>
      </c>
      <c r="H227" s="1">
        <v>2</v>
      </c>
      <c r="I227" s="1">
        <v>1199</v>
      </c>
      <c r="J227" s="1">
        <v>2398</v>
      </c>
      <c r="K227" s="1" t="s">
        <v>222</v>
      </c>
    </row>
    <row r="228" spans="1:11">
      <c r="A228" s="1" t="s">
        <v>496</v>
      </c>
      <c r="B228" s="3">
        <v>46176</v>
      </c>
      <c r="C228" s="1" t="s">
        <v>497</v>
      </c>
      <c r="D228" s="1" t="s">
        <v>114</v>
      </c>
      <c r="E228" s="1" t="s">
        <v>104</v>
      </c>
      <c r="F228" s="1" t="s">
        <v>127</v>
      </c>
      <c r="G228" s="1" t="s">
        <v>48</v>
      </c>
      <c r="H228" s="1">
        <v>1</v>
      </c>
      <c r="I228" s="1">
        <v>499</v>
      </c>
      <c r="J228" s="1">
        <v>499</v>
      </c>
      <c r="K228" s="1" t="s">
        <v>78</v>
      </c>
    </row>
    <row r="229" spans="1:11">
      <c r="A229" s="1" t="s">
        <v>547</v>
      </c>
      <c r="B229" s="3">
        <v>46167</v>
      </c>
      <c r="C229" s="1" t="s">
        <v>459</v>
      </c>
      <c r="D229" s="1" t="s">
        <v>319</v>
      </c>
      <c r="E229" s="1" t="s">
        <v>21</v>
      </c>
      <c r="F229" s="1" t="s">
        <v>36</v>
      </c>
      <c r="G229" s="1" t="s">
        <v>37</v>
      </c>
      <c r="H229" s="1">
        <v>1</v>
      </c>
      <c r="I229" s="1">
        <v>2299</v>
      </c>
      <c r="J229" s="1">
        <v>2299</v>
      </c>
      <c r="K229" s="1" t="s">
        <v>17</v>
      </c>
    </row>
    <row r="230" spans="1:11">
      <c r="A230" s="1" t="s">
        <v>548</v>
      </c>
      <c r="B230" s="3">
        <v>46142</v>
      </c>
      <c r="C230" s="1" t="s">
        <v>102</v>
      </c>
      <c r="D230" s="1" t="s">
        <v>103</v>
      </c>
      <c r="E230" s="1" t="s">
        <v>119</v>
      </c>
      <c r="F230" s="1" t="s">
        <v>36</v>
      </c>
      <c r="G230" s="1" t="s">
        <v>141</v>
      </c>
      <c r="H230" s="1">
        <v>2</v>
      </c>
      <c r="I230" s="1">
        <v>999</v>
      </c>
      <c r="J230" s="1">
        <v>1998</v>
      </c>
      <c r="K230" s="1" t="s">
        <v>17</v>
      </c>
    </row>
    <row r="231" spans="1:11">
      <c r="A231" s="1" t="s">
        <v>549</v>
      </c>
      <c r="B231" s="3">
        <v>46160</v>
      </c>
      <c r="C231" s="1" t="s">
        <v>207</v>
      </c>
      <c r="D231" s="1" t="s">
        <v>208</v>
      </c>
      <c r="E231" s="1" t="s">
        <v>64</v>
      </c>
      <c r="F231" s="1" t="s">
        <v>22</v>
      </c>
      <c r="G231" s="1" t="s">
        <v>138</v>
      </c>
      <c r="H231" s="1">
        <v>1</v>
      </c>
      <c r="I231" s="1">
        <v>599</v>
      </c>
      <c r="J231" s="1">
        <v>599</v>
      </c>
      <c r="K231" s="1" t="s">
        <v>17</v>
      </c>
    </row>
    <row r="232" spans="1:11">
      <c r="A232" s="1" t="s">
        <v>550</v>
      </c>
      <c r="B232" s="3">
        <v>46198</v>
      </c>
      <c r="C232" s="1" t="s">
        <v>551</v>
      </c>
      <c r="D232" s="1" t="s">
        <v>34</v>
      </c>
      <c r="E232" s="1" t="s">
        <v>472</v>
      </c>
      <c r="F232" s="1" t="s">
        <v>36</v>
      </c>
      <c r="G232" s="1" t="s">
        <v>151</v>
      </c>
      <c r="H232" s="1">
        <v>1</v>
      </c>
      <c r="I232" s="1">
        <v>799</v>
      </c>
      <c r="J232" s="1">
        <v>799</v>
      </c>
      <c r="K232" s="1" t="s">
        <v>17</v>
      </c>
    </row>
    <row r="233" spans="1:11">
      <c r="A233" s="1" t="s">
        <v>552</v>
      </c>
      <c r="B233" s="3">
        <v>46141</v>
      </c>
      <c r="C233" s="1" t="s">
        <v>106</v>
      </c>
      <c r="D233" s="1" t="s">
        <v>107</v>
      </c>
      <c r="E233" s="1" t="s">
        <v>21</v>
      </c>
      <c r="F233" s="1" t="s">
        <v>22</v>
      </c>
      <c r="G233" s="1" t="s">
        <v>23</v>
      </c>
      <c r="H233" s="1">
        <v>1</v>
      </c>
      <c r="I233" s="1">
        <v>3299</v>
      </c>
      <c r="J233" s="1">
        <v>3299</v>
      </c>
      <c r="K233" s="1" t="s">
        <v>17</v>
      </c>
    </row>
    <row r="234" spans="1:11">
      <c r="A234" s="1" t="s">
        <v>553</v>
      </c>
      <c r="B234" s="3">
        <v>46113</v>
      </c>
      <c r="C234" s="1" t="s">
        <v>136</v>
      </c>
      <c r="D234" s="1" t="s">
        <v>137</v>
      </c>
      <c r="E234" s="1" t="s">
        <v>21</v>
      </c>
      <c r="F234" s="1" t="s">
        <v>47</v>
      </c>
      <c r="G234" s="1" t="s">
        <v>48</v>
      </c>
      <c r="H234" s="1">
        <v>1</v>
      </c>
      <c r="I234" s="1">
        <v>499</v>
      </c>
      <c r="J234" s="1">
        <v>499</v>
      </c>
      <c r="K234" s="1" t="s">
        <v>17</v>
      </c>
    </row>
    <row r="235" spans="1:11">
      <c r="A235" s="1" t="s">
        <v>554</v>
      </c>
      <c r="B235" s="1" t="s">
        <v>555</v>
      </c>
      <c r="C235" s="1" t="s">
        <v>28</v>
      </c>
      <c r="D235" s="1" t="s">
        <v>29</v>
      </c>
      <c r="E235" s="1" t="s">
        <v>30</v>
      </c>
      <c r="F235" s="1" t="s">
        <v>36</v>
      </c>
      <c r="G235" s="1" t="s">
        <v>141</v>
      </c>
      <c r="H235" s="1">
        <v>2</v>
      </c>
      <c r="I235" s="1">
        <v>999</v>
      </c>
      <c r="J235" s="1">
        <v>1998</v>
      </c>
      <c r="K235" s="1" t="s">
        <v>78</v>
      </c>
    </row>
    <row r="236" spans="1:11">
      <c r="A236" s="1" t="s">
        <v>556</v>
      </c>
      <c r="B236" s="3">
        <v>46133</v>
      </c>
      <c r="C236" s="1" t="s">
        <v>557</v>
      </c>
      <c r="D236" s="1" t="s">
        <v>558</v>
      </c>
      <c r="E236" s="1" t="s">
        <v>30</v>
      </c>
      <c r="F236" s="1" t="s">
        <v>36</v>
      </c>
      <c r="G236" s="1" t="s">
        <v>141</v>
      </c>
      <c r="H236" s="1">
        <v>2</v>
      </c>
      <c r="I236" s="1">
        <v>999</v>
      </c>
      <c r="J236" s="1">
        <v>1998</v>
      </c>
      <c r="K236" s="1" t="s">
        <v>17</v>
      </c>
    </row>
    <row r="237" spans="1:11">
      <c r="A237" s="1" t="s">
        <v>559</v>
      </c>
      <c r="B237" s="3">
        <v>46030</v>
      </c>
      <c r="C237" s="1" t="s">
        <v>560</v>
      </c>
      <c r="D237" s="1" t="s">
        <v>561</v>
      </c>
      <c r="E237" s="1" t="s">
        <v>73</v>
      </c>
      <c r="F237" s="1" t="s">
        <v>47</v>
      </c>
      <c r="G237" s="1" t="s">
        <v>56</v>
      </c>
      <c r="H237" s="1">
        <v>2</v>
      </c>
      <c r="I237" s="1">
        <v>3499</v>
      </c>
      <c r="J237" s="1">
        <v>6998</v>
      </c>
      <c r="K237" s="1" t="s">
        <v>17</v>
      </c>
    </row>
    <row r="238" spans="1:11">
      <c r="A238" s="1" t="s">
        <v>562</v>
      </c>
      <c r="B238" s="3">
        <v>46124</v>
      </c>
      <c r="C238" s="1" t="s">
        <v>425</v>
      </c>
      <c r="D238" s="1" t="s">
        <v>426</v>
      </c>
      <c r="E238" s="1" t="s">
        <v>35</v>
      </c>
      <c r="F238" s="1" t="s">
        <v>25</v>
      </c>
      <c r="G238" s="1" t="s">
        <v>31</v>
      </c>
      <c r="H238" s="1">
        <v>1</v>
      </c>
      <c r="I238" s="1">
        <v>1799</v>
      </c>
      <c r="J238" s="1">
        <v>1799</v>
      </c>
      <c r="K238" s="1" t="s">
        <v>17</v>
      </c>
    </row>
    <row r="239" spans="1:11">
      <c r="A239" s="1" t="s">
        <v>563</v>
      </c>
      <c r="B239" s="3">
        <v>46169</v>
      </c>
      <c r="C239" s="1" t="s">
        <v>480</v>
      </c>
      <c r="D239" s="1" t="s">
        <v>481</v>
      </c>
      <c r="E239" s="1" t="s">
        <v>21</v>
      </c>
      <c r="F239" s="1" t="s">
        <v>47</v>
      </c>
      <c r="G239" s="1" t="s">
        <v>48</v>
      </c>
      <c r="H239" s="1">
        <v>2</v>
      </c>
      <c r="I239" s="1">
        <v>499</v>
      </c>
      <c r="J239" s="1">
        <v>998</v>
      </c>
      <c r="K239" s="1" t="s">
        <v>17</v>
      </c>
    </row>
    <row r="240" spans="1:11">
      <c r="A240" s="1" t="s">
        <v>564</v>
      </c>
      <c r="B240" s="3">
        <v>46035</v>
      </c>
      <c r="C240" s="1" t="s">
        <v>565</v>
      </c>
      <c r="D240" s="1" t="s">
        <v>566</v>
      </c>
      <c r="E240" s="1" t="s">
        <v>21</v>
      </c>
      <c r="F240" s="1" t="s">
        <v>15</v>
      </c>
      <c r="G240" s="1" t="s">
        <v>162</v>
      </c>
      <c r="H240" s="1">
        <v>1</v>
      </c>
      <c r="I240" s="1">
        <v>1599</v>
      </c>
      <c r="J240" s="1">
        <v>1599</v>
      </c>
      <c r="K240" s="1" t="s">
        <v>17</v>
      </c>
    </row>
    <row r="241" spans="1:11">
      <c r="A241" s="1" t="s">
        <v>567</v>
      </c>
      <c r="B241" s="3">
        <v>46138</v>
      </c>
      <c r="C241" s="1" t="s">
        <v>499</v>
      </c>
      <c r="D241" s="1" t="s">
        <v>59</v>
      </c>
      <c r="E241" s="1" t="s">
        <v>568</v>
      </c>
      <c r="F241" s="1" t="s">
        <v>47</v>
      </c>
      <c r="G241" s="1" t="s">
        <v>100</v>
      </c>
      <c r="H241" s="1">
        <v>1</v>
      </c>
      <c r="I241" s="1">
        <v>2799</v>
      </c>
      <c r="J241" s="1">
        <v>2799</v>
      </c>
      <c r="K241" s="1" t="s">
        <v>17</v>
      </c>
    </row>
    <row r="242" spans="1:11">
      <c r="A242" s="1" t="s">
        <v>569</v>
      </c>
      <c r="B242" s="3">
        <v>46140</v>
      </c>
      <c r="C242" s="1" t="s">
        <v>113</v>
      </c>
      <c r="D242" s="1" t="s">
        <v>114</v>
      </c>
      <c r="E242" s="1" t="s">
        <v>484</v>
      </c>
      <c r="F242" s="1" t="s">
        <v>25</v>
      </c>
      <c r="G242" s="1" t="s">
        <v>26</v>
      </c>
      <c r="H242" s="1">
        <v>1</v>
      </c>
      <c r="I242" s="1">
        <v>1299</v>
      </c>
      <c r="J242" s="1">
        <v>1299</v>
      </c>
      <c r="K242" s="1" t="s">
        <v>38</v>
      </c>
    </row>
    <row r="243" spans="1:11">
      <c r="A243" s="1" t="s">
        <v>570</v>
      </c>
      <c r="B243" s="3">
        <v>46110</v>
      </c>
      <c r="C243" s="1" t="s">
        <v>470</v>
      </c>
      <c r="D243" s="1" t="s">
        <v>471</v>
      </c>
      <c r="E243" s="1" t="s">
        <v>217</v>
      </c>
      <c r="F243" s="1" t="s">
        <v>22</v>
      </c>
      <c r="G243" s="1" t="s">
        <v>43</v>
      </c>
      <c r="H243" s="1">
        <v>1</v>
      </c>
      <c r="I243" s="1">
        <v>1499</v>
      </c>
      <c r="J243" s="1">
        <v>1499</v>
      </c>
      <c r="K243" s="1" t="s">
        <v>17</v>
      </c>
    </row>
    <row r="244" spans="1:11">
      <c r="A244" s="1" t="s">
        <v>571</v>
      </c>
      <c r="B244" s="3">
        <v>46203</v>
      </c>
      <c r="C244" s="1" t="s">
        <v>158</v>
      </c>
      <c r="D244" s="1" t="s">
        <v>144</v>
      </c>
      <c r="E244" s="1" t="s">
        <v>513</v>
      </c>
      <c r="F244" s="1" t="s">
        <v>25</v>
      </c>
      <c r="G244" s="1" t="s">
        <v>26</v>
      </c>
      <c r="H244" s="1">
        <v>2</v>
      </c>
      <c r="I244" s="1">
        <v>1299</v>
      </c>
      <c r="J244" s="1">
        <v>2598</v>
      </c>
      <c r="K244" s="1" t="s">
        <v>17</v>
      </c>
    </row>
    <row r="245" spans="1:11">
      <c r="A245" s="1" t="s">
        <v>572</v>
      </c>
      <c r="B245" s="3">
        <v>46087</v>
      </c>
      <c r="C245" s="1" t="s">
        <v>419</v>
      </c>
      <c r="D245" s="1" t="s">
        <v>420</v>
      </c>
      <c r="E245" s="1" t="s">
        <v>96</v>
      </c>
      <c r="F245" s="1" t="s">
        <v>47</v>
      </c>
      <c r="G245" s="1" t="s">
        <v>128</v>
      </c>
      <c r="H245" s="1">
        <v>2</v>
      </c>
      <c r="I245" s="1">
        <v>1199</v>
      </c>
      <c r="J245" s="1">
        <v>2398</v>
      </c>
      <c r="K245" s="1" t="s">
        <v>17</v>
      </c>
    </row>
    <row r="246" spans="1:11">
      <c r="A246" s="1" t="s">
        <v>314</v>
      </c>
      <c r="B246" s="3">
        <v>46150</v>
      </c>
      <c r="C246" s="1" t="s">
        <v>315</v>
      </c>
      <c r="D246" s="1" t="s">
        <v>316</v>
      </c>
      <c r="E246" s="1" t="s">
        <v>217</v>
      </c>
      <c r="F246" s="1" t="s">
        <v>15</v>
      </c>
      <c r="G246" s="1" t="s">
        <v>162</v>
      </c>
      <c r="H246" s="1">
        <v>1</v>
      </c>
      <c r="I246" s="1">
        <v>1599</v>
      </c>
      <c r="J246" s="1">
        <v>1599</v>
      </c>
      <c r="K246" s="1" t="s">
        <v>17</v>
      </c>
    </row>
    <row r="247" spans="1:11">
      <c r="A247" s="1" t="s">
        <v>573</v>
      </c>
      <c r="B247" s="3">
        <v>46053</v>
      </c>
      <c r="C247" s="1" t="s">
        <v>574</v>
      </c>
      <c r="D247" s="1" t="s">
        <v>41</v>
      </c>
      <c r="E247" s="1" t="s">
        <v>104</v>
      </c>
      <c r="F247" s="1" t="s">
        <v>25</v>
      </c>
      <c r="G247" s="1" t="s">
        <v>115</v>
      </c>
      <c r="H247" s="1">
        <v>3</v>
      </c>
      <c r="I247" s="1">
        <v>3999</v>
      </c>
      <c r="J247" s="1">
        <v>11997</v>
      </c>
      <c r="K247" s="1" t="s">
        <v>17</v>
      </c>
    </row>
    <row r="248" spans="1:11">
      <c r="A248" s="1" t="s">
        <v>575</v>
      </c>
      <c r="B248" s="3">
        <v>46162</v>
      </c>
      <c r="C248" s="1" t="s">
        <v>386</v>
      </c>
      <c r="D248" s="1" t="s">
        <v>190</v>
      </c>
      <c r="E248" s="1" t="s">
        <v>217</v>
      </c>
      <c r="F248" s="1" t="s">
        <v>328</v>
      </c>
      <c r="G248" s="1" t="s">
        <v>162</v>
      </c>
      <c r="H248" s="1">
        <v>2</v>
      </c>
      <c r="I248" s="1">
        <v>1599</v>
      </c>
      <c r="J248" s="1">
        <v>3198</v>
      </c>
      <c r="K248" s="1" t="s">
        <v>17</v>
      </c>
    </row>
    <row r="249" spans="1:11">
      <c r="A249" s="1" t="s">
        <v>576</v>
      </c>
      <c r="B249" s="3">
        <v>46062</v>
      </c>
      <c r="C249" s="1" t="s">
        <v>577</v>
      </c>
      <c r="D249" s="1" t="s">
        <v>578</v>
      </c>
      <c r="E249" s="1" t="s">
        <v>104</v>
      </c>
      <c r="F249" s="1" t="s">
        <v>47</v>
      </c>
      <c r="G249" s="1" t="s">
        <v>56</v>
      </c>
      <c r="H249" s="1">
        <v>2</v>
      </c>
      <c r="I249" s="1">
        <v>3499</v>
      </c>
      <c r="J249" s="1">
        <v>6998</v>
      </c>
      <c r="K249" s="1" t="s">
        <v>38</v>
      </c>
    </row>
    <row r="250" spans="1:11">
      <c r="A250" s="1" t="s">
        <v>579</v>
      </c>
      <c r="B250" s="3">
        <v>46203</v>
      </c>
      <c r="C250" s="1" t="s">
        <v>183</v>
      </c>
      <c r="D250" s="1" t="s">
        <v>184</v>
      </c>
      <c r="E250" s="1" t="s">
        <v>21</v>
      </c>
      <c r="F250" s="1" t="s">
        <v>47</v>
      </c>
      <c r="G250" s="1" t="s">
        <v>56</v>
      </c>
      <c r="H250" s="1">
        <v>1</v>
      </c>
      <c r="I250" s="1">
        <v>3499</v>
      </c>
      <c r="J250" s="1">
        <v>3499</v>
      </c>
      <c r="K250" s="1" t="s">
        <v>17</v>
      </c>
    </row>
    <row r="251" spans="1:11">
      <c r="A251" s="1" t="s">
        <v>580</v>
      </c>
      <c r="B251" s="3">
        <v>46195</v>
      </c>
      <c r="C251" s="1" t="s">
        <v>110</v>
      </c>
      <c r="D251" s="1" t="s">
        <v>111</v>
      </c>
      <c r="E251" s="1" t="s">
        <v>30</v>
      </c>
      <c r="F251" s="1" t="s">
        <v>36</v>
      </c>
      <c r="G251" s="1" t="s">
        <v>151</v>
      </c>
      <c r="H251" s="1">
        <v>3</v>
      </c>
      <c r="I251" s="1">
        <v>799</v>
      </c>
      <c r="J251" s="1">
        <v>2397</v>
      </c>
      <c r="K251" s="1" t="s">
        <v>17</v>
      </c>
    </row>
    <row r="252" spans="1:11">
      <c r="A252" s="1" t="s">
        <v>581</v>
      </c>
      <c r="B252" s="3">
        <v>46162</v>
      </c>
      <c r="C252" s="1" t="s">
        <v>285</v>
      </c>
      <c r="D252" s="1" t="s">
        <v>566</v>
      </c>
      <c r="E252" s="1" t="s">
        <v>239</v>
      </c>
      <c r="F252" s="1" t="s">
        <v>47</v>
      </c>
      <c r="G252" s="1" t="s">
        <v>128</v>
      </c>
      <c r="H252" s="1">
        <v>1</v>
      </c>
      <c r="I252" s="1">
        <v>1199</v>
      </c>
      <c r="J252" s="1">
        <v>1199</v>
      </c>
      <c r="K252" s="1" t="s">
        <v>17</v>
      </c>
    </row>
    <row r="253" spans="1:11">
      <c r="A253" s="1" t="s">
        <v>582</v>
      </c>
      <c r="B253" s="3">
        <v>46106</v>
      </c>
      <c r="C253" s="1" t="s">
        <v>583</v>
      </c>
      <c r="D253" s="1" t="s">
        <v>131</v>
      </c>
      <c r="E253" s="1" t="s">
        <v>21</v>
      </c>
      <c r="F253" s="1" t="s">
        <v>36</v>
      </c>
      <c r="G253" s="1" t="s">
        <v>141</v>
      </c>
      <c r="H253" s="1">
        <v>1</v>
      </c>
      <c r="I253" s="1">
        <v>999</v>
      </c>
      <c r="J253" s="1">
        <v>999</v>
      </c>
      <c r="K253" s="1" t="s">
        <v>17</v>
      </c>
    </row>
    <row r="254" spans="1:11">
      <c r="A254" s="1" t="s">
        <v>584</v>
      </c>
      <c r="B254" s="3">
        <v>46036</v>
      </c>
      <c r="C254" s="1" t="s">
        <v>585</v>
      </c>
      <c r="D254" s="1" t="s">
        <v>313</v>
      </c>
      <c r="E254" s="1" t="s">
        <v>30</v>
      </c>
      <c r="F254" s="1" t="s">
        <v>36</v>
      </c>
      <c r="G254" s="1" t="s">
        <v>151</v>
      </c>
      <c r="H254" s="1">
        <v>1</v>
      </c>
      <c r="I254" s="1">
        <v>799</v>
      </c>
      <c r="J254" s="1">
        <v>799</v>
      </c>
      <c r="K254" s="1" t="s">
        <v>17</v>
      </c>
    </row>
    <row r="255" spans="1:11">
      <c r="A255" s="1" t="s">
        <v>586</v>
      </c>
      <c r="B255" s="3">
        <v>46160</v>
      </c>
      <c r="C255" s="1" t="s">
        <v>136</v>
      </c>
      <c r="D255" s="1" t="s">
        <v>137</v>
      </c>
      <c r="E255" s="1" t="s">
        <v>568</v>
      </c>
      <c r="F255" s="1" t="s">
        <v>127</v>
      </c>
      <c r="G255" s="1" t="s">
        <v>48</v>
      </c>
      <c r="H255" s="1">
        <v>1</v>
      </c>
      <c r="I255" s="1">
        <v>499</v>
      </c>
      <c r="J255" s="1">
        <v>499</v>
      </c>
      <c r="K255" s="1" t="s">
        <v>17</v>
      </c>
    </row>
    <row r="256" spans="1:11">
      <c r="A256" s="1" t="s">
        <v>587</v>
      </c>
      <c r="B256" s="3">
        <v>46131</v>
      </c>
      <c r="C256" s="1" t="s">
        <v>480</v>
      </c>
      <c r="D256" s="1" t="s">
        <v>481</v>
      </c>
      <c r="E256" s="1" t="s">
        <v>21</v>
      </c>
      <c r="F256" s="1" t="s">
        <v>36</v>
      </c>
      <c r="G256" s="1" t="s">
        <v>37</v>
      </c>
      <c r="H256" s="1">
        <v>2</v>
      </c>
      <c r="I256" s="1">
        <v>2299</v>
      </c>
      <c r="J256" s="1">
        <v>4598</v>
      </c>
      <c r="K256" s="1" t="s">
        <v>17</v>
      </c>
    </row>
    <row r="257" spans="1:11">
      <c r="A257" s="1" t="s">
        <v>588</v>
      </c>
      <c r="B257" s="3">
        <v>46063</v>
      </c>
      <c r="C257" s="1" t="s">
        <v>589</v>
      </c>
      <c r="D257" s="1" t="s">
        <v>590</v>
      </c>
      <c r="E257" s="1" t="s">
        <v>21</v>
      </c>
      <c r="F257" s="1" t="s">
        <v>25</v>
      </c>
      <c r="G257" s="1" t="s">
        <v>26</v>
      </c>
      <c r="H257" s="1">
        <v>1</v>
      </c>
      <c r="I257" s="1">
        <v>1299</v>
      </c>
      <c r="J257" s="1">
        <v>1299</v>
      </c>
      <c r="K257" s="1" t="s">
        <v>17</v>
      </c>
    </row>
    <row r="258" spans="1:11">
      <c r="A258" s="1" t="s">
        <v>591</v>
      </c>
      <c r="B258" s="3">
        <v>46129</v>
      </c>
      <c r="C258" s="1" t="s">
        <v>592</v>
      </c>
      <c r="D258" s="1" t="s">
        <v>593</v>
      </c>
      <c r="E258" s="1" t="s">
        <v>64</v>
      </c>
      <c r="F258" s="1" t="s">
        <v>47</v>
      </c>
      <c r="G258" s="1" t="s">
        <v>128</v>
      </c>
      <c r="H258" s="1">
        <v>1</v>
      </c>
      <c r="I258" s="1">
        <v>1199</v>
      </c>
      <c r="J258" s="1">
        <v>1199</v>
      </c>
      <c r="K258" s="1" t="s">
        <v>17</v>
      </c>
    </row>
    <row r="259" spans="1:11">
      <c r="A259" s="1" t="s">
        <v>594</v>
      </c>
      <c r="B259" s="3">
        <v>46189</v>
      </c>
      <c r="C259" s="1" t="s">
        <v>288</v>
      </c>
      <c r="D259" s="1" t="s">
        <v>289</v>
      </c>
      <c r="E259" s="1" t="s">
        <v>595</v>
      </c>
      <c r="F259" s="1" t="s">
        <v>15</v>
      </c>
      <c r="G259" s="1" t="s">
        <v>162</v>
      </c>
      <c r="H259" s="1">
        <v>2</v>
      </c>
      <c r="I259" s="1">
        <v>1599</v>
      </c>
      <c r="J259" s="1">
        <v>3198</v>
      </c>
      <c r="K259" s="1" t="s">
        <v>17</v>
      </c>
    </row>
    <row r="260" spans="1:11">
      <c r="A260" s="1" t="s">
        <v>596</v>
      </c>
      <c r="B260" s="3">
        <v>46116</v>
      </c>
      <c r="C260" s="1" t="s">
        <v>345</v>
      </c>
      <c r="D260" s="1" t="s">
        <v>346</v>
      </c>
      <c r="E260" s="1" t="s">
        <v>217</v>
      </c>
      <c r="F260" s="1" t="s">
        <v>25</v>
      </c>
      <c r="G260" s="1" t="s">
        <v>115</v>
      </c>
      <c r="H260" s="1">
        <v>2</v>
      </c>
      <c r="I260" s="1">
        <v>3999</v>
      </c>
      <c r="J260" s="1">
        <v>7998</v>
      </c>
      <c r="K260" s="1" t="s">
        <v>120</v>
      </c>
    </row>
    <row r="261" spans="1:11">
      <c r="A261" s="1" t="s">
        <v>597</v>
      </c>
      <c r="B261" s="3">
        <v>46030</v>
      </c>
      <c r="C261" s="1" t="s">
        <v>125</v>
      </c>
      <c r="D261" s="1" t="s">
        <v>126</v>
      </c>
      <c r="E261" s="1" t="s">
        <v>104</v>
      </c>
      <c r="F261" s="1" t="s">
        <v>15</v>
      </c>
      <c r="G261" s="1" t="s">
        <v>52</v>
      </c>
      <c r="H261" s="1">
        <v>1</v>
      </c>
      <c r="I261" s="1">
        <v>899</v>
      </c>
      <c r="J261" s="1">
        <v>899</v>
      </c>
      <c r="K261" s="1" t="s">
        <v>78</v>
      </c>
    </row>
    <row r="262" spans="1:11">
      <c r="A262" s="1" t="s">
        <v>598</v>
      </c>
      <c r="B262" s="3">
        <v>46023</v>
      </c>
      <c r="C262" s="1" t="s">
        <v>557</v>
      </c>
      <c r="D262" s="1" t="s">
        <v>558</v>
      </c>
      <c r="E262" s="1" t="s">
        <v>30</v>
      </c>
      <c r="F262" s="1" t="s">
        <v>15</v>
      </c>
      <c r="G262" s="1" t="s">
        <v>162</v>
      </c>
      <c r="H262" s="1">
        <v>2</v>
      </c>
      <c r="I262" s="1">
        <v>1599</v>
      </c>
      <c r="J262" s="1">
        <v>3198</v>
      </c>
      <c r="K262" s="1" t="s">
        <v>17</v>
      </c>
    </row>
    <row r="263" spans="1:11">
      <c r="A263" s="1" t="s">
        <v>599</v>
      </c>
      <c r="B263" s="3">
        <v>46144</v>
      </c>
      <c r="C263" s="1" t="s">
        <v>12</v>
      </c>
      <c r="D263" s="1" t="s">
        <v>13</v>
      </c>
      <c r="E263" s="1" t="s">
        <v>14</v>
      </c>
      <c r="F263" s="1" t="s">
        <v>22</v>
      </c>
      <c r="G263" s="1" t="s">
        <v>43</v>
      </c>
      <c r="H263" s="1">
        <v>2</v>
      </c>
      <c r="I263" s="1">
        <v>1499</v>
      </c>
      <c r="J263" s="1">
        <v>2998</v>
      </c>
      <c r="K263" s="1" t="s">
        <v>17</v>
      </c>
    </row>
    <row r="264" spans="1:11">
      <c r="A264" s="1" t="s">
        <v>600</v>
      </c>
      <c r="B264" s="3">
        <v>46068</v>
      </c>
      <c r="C264" s="1" t="s">
        <v>454</v>
      </c>
      <c r="D264" s="1" t="s">
        <v>227</v>
      </c>
      <c r="E264" s="1" t="s">
        <v>64</v>
      </c>
      <c r="F264" s="1" t="s">
        <v>36</v>
      </c>
      <c r="G264" s="1" t="s">
        <v>141</v>
      </c>
      <c r="H264" s="1">
        <v>1</v>
      </c>
      <c r="I264" s="1">
        <v>999</v>
      </c>
      <c r="J264" s="1">
        <v>999</v>
      </c>
      <c r="K264" s="1" t="s">
        <v>17</v>
      </c>
    </row>
    <row r="265" spans="1:11">
      <c r="A265" s="1" t="s">
        <v>601</v>
      </c>
      <c r="B265" s="3">
        <v>46154</v>
      </c>
      <c r="C265" s="1" t="s">
        <v>172</v>
      </c>
      <c r="D265" s="1" t="s">
        <v>173</v>
      </c>
      <c r="E265" s="1" t="s">
        <v>30</v>
      </c>
      <c r="F265" s="1" t="s">
        <v>447</v>
      </c>
      <c r="G265" s="1" t="s">
        <v>16</v>
      </c>
      <c r="H265" s="1">
        <v>1</v>
      </c>
      <c r="I265" s="1">
        <v>1999</v>
      </c>
      <c r="J265" s="1">
        <v>1999</v>
      </c>
      <c r="K265" s="1" t="s">
        <v>38</v>
      </c>
    </row>
    <row r="266" spans="1:11">
      <c r="A266" s="1" t="s">
        <v>602</v>
      </c>
      <c r="B266" s="3">
        <v>46195</v>
      </c>
      <c r="C266" s="1" t="s">
        <v>113</v>
      </c>
      <c r="D266" s="1" t="s">
        <v>114</v>
      </c>
      <c r="E266" s="1" t="s">
        <v>14</v>
      </c>
      <c r="F266" s="1" t="s">
        <v>22</v>
      </c>
      <c r="G266" s="1" t="s">
        <v>23</v>
      </c>
      <c r="H266" s="1">
        <v>1</v>
      </c>
      <c r="I266" s="1">
        <v>3299</v>
      </c>
      <c r="J266" s="1">
        <v>3299</v>
      </c>
      <c r="K266" s="1" t="s">
        <v>17</v>
      </c>
    </row>
    <row r="267" spans="1:11">
      <c r="A267" s="1" t="s">
        <v>603</v>
      </c>
      <c r="B267" s="3">
        <v>46198</v>
      </c>
      <c r="C267" s="1" t="s">
        <v>295</v>
      </c>
      <c r="D267" s="1" t="s">
        <v>296</v>
      </c>
      <c r="E267" s="1" t="s">
        <v>378</v>
      </c>
      <c r="F267" s="1" t="s">
        <v>15</v>
      </c>
      <c r="G267" s="1" t="s">
        <v>16</v>
      </c>
      <c r="H267" s="1">
        <v>1</v>
      </c>
      <c r="I267" s="1">
        <v>1999</v>
      </c>
      <c r="J267" s="1">
        <v>1999</v>
      </c>
      <c r="K267" s="1" t="s">
        <v>17</v>
      </c>
    </row>
    <row r="268" spans="1:11">
      <c r="A268" s="1" t="s">
        <v>604</v>
      </c>
      <c r="B268" s="3">
        <v>46184</v>
      </c>
      <c r="C268" s="1" t="s">
        <v>585</v>
      </c>
      <c r="D268" s="1" t="s">
        <v>313</v>
      </c>
      <c r="E268" s="1" t="s">
        <v>30</v>
      </c>
      <c r="F268" s="1" t="s">
        <v>42</v>
      </c>
      <c r="G268" s="1" t="s">
        <v>23</v>
      </c>
      <c r="H268" s="1">
        <v>1</v>
      </c>
      <c r="I268" s="1">
        <v>3299</v>
      </c>
      <c r="J268" s="1">
        <v>3299</v>
      </c>
      <c r="K268" s="1" t="s">
        <v>17</v>
      </c>
    </row>
    <row r="269" spans="1:11">
      <c r="A269" s="1" t="s">
        <v>605</v>
      </c>
      <c r="B269" s="3">
        <v>46040</v>
      </c>
      <c r="C269" s="1" t="s">
        <v>589</v>
      </c>
      <c r="D269" s="1" t="s">
        <v>590</v>
      </c>
      <c r="E269" s="1" t="s">
        <v>21</v>
      </c>
      <c r="F269" s="1" t="s">
        <v>15</v>
      </c>
      <c r="G269" s="1" t="s">
        <v>16</v>
      </c>
      <c r="H269" s="1">
        <v>2</v>
      </c>
      <c r="I269" s="1">
        <v>1999</v>
      </c>
      <c r="J269" s="1">
        <v>3998</v>
      </c>
      <c r="K269" s="1" t="s">
        <v>222</v>
      </c>
    </row>
    <row r="270" spans="1:11">
      <c r="A270" s="1" t="s">
        <v>606</v>
      </c>
      <c r="B270" s="3">
        <v>46139</v>
      </c>
      <c r="C270" s="1" t="s">
        <v>366</v>
      </c>
      <c r="D270" s="1" t="s">
        <v>367</v>
      </c>
      <c r="E270" s="1" t="s">
        <v>199</v>
      </c>
      <c r="F270" s="1" t="s">
        <v>15</v>
      </c>
      <c r="G270" s="1" t="s">
        <v>52</v>
      </c>
      <c r="H270" s="1">
        <v>1</v>
      </c>
      <c r="I270" s="1">
        <v>899</v>
      </c>
      <c r="J270" s="1">
        <v>899</v>
      </c>
      <c r="K270" s="1" t="s">
        <v>17</v>
      </c>
    </row>
    <row r="271" spans="1:11">
      <c r="A271" s="1" t="s">
        <v>607</v>
      </c>
      <c r="B271" s="3">
        <v>46162</v>
      </c>
      <c r="C271" s="1" t="s">
        <v>133</v>
      </c>
      <c r="D271" s="1" t="s">
        <v>134</v>
      </c>
      <c r="E271" s="1" t="s">
        <v>104</v>
      </c>
      <c r="F271" s="1" t="s">
        <v>47</v>
      </c>
      <c r="G271" s="1" t="s">
        <v>48</v>
      </c>
      <c r="H271" s="1">
        <v>3</v>
      </c>
      <c r="I271" s="1">
        <v>499</v>
      </c>
      <c r="J271" s="1">
        <v>1497</v>
      </c>
      <c r="K271" s="1" t="s">
        <v>17</v>
      </c>
    </row>
    <row r="272" spans="1:11">
      <c r="A272" s="1" t="s">
        <v>608</v>
      </c>
      <c r="B272" s="3">
        <v>46162</v>
      </c>
      <c r="C272" s="1" t="s">
        <v>244</v>
      </c>
      <c r="D272" s="1" t="s">
        <v>245</v>
      </c>
      <c r="E272" s="1" t="s">
        <v>247</v>
      </c>
      <c r="F272" s="1" t="s">
        <v>36</v>
      </c>
      <c r="G272" s="1" t="s">
        <v>151</v>
      </c>
      <c r="H272" s="1">
        <v>1</v>
      </c>
      <c r="I272" s="1">
        <v>799</v>
      </c>
      <c r="J272" s="1">
        <v>799</v>
      </c>
      <c r="K272" s="1" t="s">
        <v>17</v>
      </c>
    </row>
    <row r="273" spans="1:11">
      <c r="A273" s="1" t="s">
        <v>609</v>
      </c>
      <c r="B273" s="3">
        <v>46155</v>
      </c>
      <c r="C273" s="1" t="s">
        <v>98</v>
      </c>
      <c r="D273" s="1" t="s">
        <v>99</v>
      </c>
      <c r="E273" s="1" t="s">
        <v>64</v>
      </c>
      <c r="F273" s="1" t="s">
        <v>15</v>
      </c>
      <c r="G273" s="1" t="s">
        <v>16</v>
      </c>
      <c r="H273" s="1">
        <v>1</v>
      </c>
      <c r="I273" s="1">
        <v>1999</v>
      </c>
      <c r="J273" s="1">
        <v>1999</v>
      </c>
      <c r="K273" s="1" t="s">
        <v>17</v>
      </c>
    </row>
    <row r="274" spans="1:11">
      <c r="A274" s="1" t="s">
        <v>610</v>
      </c>
      <c r="B274" s="3">
        <v>46113</v>
      </c>
      <c r="C274" s="1" t="s">
        <v>304</v>
      </c>
      <c r="D274" s="1" t="s">
        <v>305</v>
      </c>
      <c r="E274" s="1"/>
      <c r="F274" s="1" t="s">
        <v>15</v>
      </c>
      <c r="G274" s="1" t="s">
        <v>52</v>
      </c>
      <c r="H274" s="1">
        <v>1</v>
      </c>
      <c r="I274" s="1">
        <v>899</v>
      </c>
      <c r="J274" s="1">
        <v>899</v>
      </c>
      <c r="K274" s="1" t="s">
        <v>78</v>
      </c>
    </row>
    <row r="275" spans="1:11">
      <c r="A275" s="1" t="s">
        <v>611</v>
      </c>
      <c r="B275" s="3">
        <v>46058</v>
      </c>
      <c r="C275" s="1" t="s">
        <v>612</v>
      </c>
      <c r="D275" s="1" t="s">
        <v>242</v>
      </c>
      <c r="E275" s="1" t="s">
        <v>64</v>
      </c>
      <c r="F275" s="1" t="s">
        <v>47</v>
      </c>
      <c r="G275" s="1" t="s">
        <v>48</v>
      </c>
      <c r="H275" s="1">
        <v>1</v>
      </c>
      <c r="I275" s="1">
        <v>499</v>
      </c>
      <c r="J275" s="1">
        <v>499</v>
      </c>
      <c r="K275" s="1" t="s">
        <v>17</v>
      </c>
    </row>
    <row r="276" spans="1:11">
      <c r="A276" s="1" t="s">
        <v>613</v>
      </c>
      <c r="B276" s="3">
        <v>46094</v>
      </c>
      <c r="C276" s="1" t="s">
        <v>125</v>
      </c>
      <c r="D276" s="1" t="s">
        <v>614</v>
      </c>
      <c r="E276" s="1" t="s">
        <v>104</v>
      </c>
      <c r="F276" s="1" t="s">
        <v>15</v>
      </c>
      <c r="G276" s="1" t="s">
        <v>162</v>
      </c>
      <c r="H276" s="1">
        <v>1</v>
      </c>
      <c r="I276" s="1">
        <v>1599</v>
      </c>
      <c r="J276" s="1">
        <v>1599</v>
      </c>
      <c r="K276" s="1" t="s">
        <v>78</v>
      </c>
    </row>
    <row r="277" spans="1:11">
      <c r="A277" s="1" t="s">
        <v>615</v>
      </c>
      <c r="B277" s="3">
        <v>46086</v>
      </c>
      <c r="C277" s="1" t="s">
        <v>342</v>
      </c>
      <c r="D277" s="1" t="s">
        <v>177</v>
      </c>
      <c r="E277" s="1" t="s">
        <v>104</v>
      </c>
      <c r="F277" s="1" t="s">
        <v>47</v>
      </c>
      <c r="G277" s="1" t="s">
        <v>48</v>
      </c>
      <c r="H277" s="1">
        <v>1</v>
      </c>
      <c r="I277" s="1">
        <v>499</v>
      </c>
      <c r="J277" s="1">
        <v>499</v>
      </c>
      <c r="K277" s="1" t="s">
        <v>17</v>
      </c>
    </row>
    <row r="278" spans="1:11">
      <c r="A278" s="1" t="s">
        <v>616</v>
      </c>
      <c r="B278" s="3">
        <v>46113</v>
      </c>
      <c r="C278" s="1" t="s">
        <v>499</v>
      </c>
      <c r="D278" s="1" t="s">
        <v>617</v>
      </c>
      <c r="E278" s="1"/>
      <c r="F278" s="1" t="s">
        <v>15</v>
      </c>
      <c r="G278" s="1" t="s">
        <v>16</v>
      </c>
      <c r="H278" s="1">
        <v>1</v>
      </c>
      <c r="I278" s="1">
        <v>1999</v>
      </c>
      <c r="J278" s="1">
        <v>1999</v>
      </c>
      <c r="K278" s="1" t="s">
        <v>17</v>
      </c>
    </row>
    <row r="279" spans="1:11">
      <c r="A279" s="1" t="s">
        <v>618</v>
      </c>
      <c r="B279" s="3">
        <v>46064</v>
      </c>
      <c r="C279" s="1" t="s">
        <v>366</v>
      </c>
      <c r="D279" s="1" t="s">
        <v>367</v>
      </c>
      <c r="E279" s="1" t="s">
        <v>30</v>
      </c>
      <c r="F279" s="1" t="s">
        <v>22</v>
      </c>
      <c r="G279" s="1" t="s">
        <v>43</v>
      </c>
      <c r="H279" s="1">
        <v>1</v>
      </c>
      <c r="I279" s="1">
        <v>1499</v>
      </c>
      <c r="J279" s="1">
        <v>1499</v>
      </c>
      <c r="K279" s="1" t="s">
        <v>220</v>
      </c>
    </row>
    <row r="280" spans="1:11">
      <c r="A280" s="1" t="s">
        <v>619</v>
      </c>
      <c r="B280" s="3">
        <v>46196</v>
      </c>
      <c r="C280" s="1" t="s">
        <v>507</v>
      </c>
      <c r="D280" s="1" t="s">
        <v>508</v>
      </c>
      <c r="E280" s="1" t="s">
        <v>378</v>
      </c>
      <c r="F280" s="1" t="s">
        <v>15</v>
      </c>
      <c r="G280" s="1" t="s">
        <v>52</v>
      </c>
      <c r="H280" s="1">
        <v>1</v>
      </c>
      <c r="I280" s="1">
        <v>899</v>
      </c>
      <c r="J280" s="1">
        <v>899</v>
      </c>
      <c r="K280" s="1" t="s">
        <v>17</v>
      </c>
    </row>
    <row r="281" spans="1:11">
      <c r="A281" s="1" t="s">
        <v>620</v>
      </c>
      <c r="B281" s="3">
        <v>46190</v>
      </c>
      <c r="C281" s="1" t="s">
        <v>369</v>
      </c>
      <c r="D281" s="1" t="s">
        <v>370</v>
      </c>
      <c r="E281" s="1" t="s">
        <v>89</v>
      </c>
      <c r="F281" s="1" t="s">
        <v>15</v>
      </c>
      <c r="G281" s="1" t="s">
        <v>162</v>
      </c>
      <c r="H281" s="1">
        <v>2</v>
      </c>
      <c r="I281" s="1">
        <v>1599</v>
      </c>
      <c r="J281" s="1">
        <v>3198</v>
      </c>
      <c r="K281" s="1" t="s">
        <v>17</v>
      </c>
    </row>
    <row r="282" spans="1:11">
      <c r="A282" s="1" t="s">
        <v>621</v>
      </c>
      <c r="B282" s="3">
        <v>46096</v>
      </c>
      <c r="C282" s="1" t="s">
        <v>585</v>
      </c>
      <c r="D282" s="1" t="s">
        <v>313</v>
      </c>
      <c r="E282" s="1" t="s">
        <v>30</v>
      </c>
      <c r="F282" s="1" t="s">
        <v>36</v>
      </c>
      <c r="G282" s="1" t="s">
        <v>141</v>
      </c>
      <c r="H282" s="1">
        <v>1</v>
      </c>
      <c r="I282" s="1">
        <v>999</v>
      </c>
      <c r="J282" s="1">
        <v>999</v>
      </c>
      <c r="K282" s="1" t="s">
        <v>17</v>
      </c>
    </row>
    <row r="283" spans="1:11">
      <c r="A283" s="1" t="s">
        <v>622</v>
      </c>
      <c r="B283" s="3">
        <v>46088</v>
      </c>
      <c r="C283" s="1" t="s">
        <v>249</v>
      </c>
      <c r="D283" s="1" t="s">
        <v>250</v>
      </c>
      <c r="E283" s="1" t="s">
        <v>217</v>
      </c>
      <c r="F283" s="1" t="s">
        <v>47</v>
      </c>
      <c r="G283" s="1" t="s">
        <v>100</v>
      </c>
      <c r="H283" s="1">
        <v>2</v>
      </c>
      <c r="I283" s="1">
        <v>2799</v>
      </c>
      <c r="J283" s="1">
        <v>5598</v>
      </c>
      <c r="K283" s="1" t="s">
        <v>17</v>
      </c>
    </row>
    <row r="284" spans="1:11">
      <c r="A284" s="1" t="s">
        <v>623</v>
      </c>
      <c r="B284" s="3">
        <v>46139</v>
      </c>
      <c r="C284" s="1" t="s">
        <v>125</v>
      </c>
      <c r="D284" s="1" t="s">
        <v>126</v>
      </c>
      <c r="E284" s="1" t="s">
        <v>104</v>
      </c>
      <c r="F284" s="1" t="s">
        <v>15</v>
      </c>
      <c r="G284" s="1" t="s">
        <v>52</v>
      </c>
      <c r="H284" s="1">
        <v>1</v>
      </c>
      <c r="I284" s="1">
        <v>899</v>
      </c>
      <c r="J284" s="1">
        <v>899</v>
      </c>
      <c r="K284" s="1" t="s">
        <v>78</v>
      </c>
    </row>
    <row r="285" spans="1:11">
      <c r="A285" s="1" t="s">
        <v>624</v>
      </c>
      <c r="B285" s="3">
        <v>46042</v>
      </c>
      <c r="C285" s="1" t="s">
        <v>397</v>
      </c>
      <c r="D285" s="1" t="s">
        <v>398</v>
      </c>
      <c r="E285" s="1" t="s">
        <v>236</v>
      </c>
      <c r="F285" s="1" t="s">
        <v>36</v>
      </c>
      <c r="G285" s="1" t="s">
        <v>151</v>
      </c>
      <c r="H285" s="1">
        <v>2</v>
      </c>
      <c r="I285" s="1">
        <v>799</v>
      </c>
      <c r="J285" s="1">
        <v>1598</v>
      </c>
      <c r="K285" s="1" t="s">
        <v>17</v>
      </c>
    </row>
    <row r="286" spans="1:11">
      <c r="A286" s="1" t="s">
        <v>625</v>
      </c>
      <c r="B286" s="3">
        <v>46036</v>
      </c>
      <c r="C286" s="1" t="s">
        <v>626</v>
      </c>
      <c r="D286" s="1" t="s">
        <v>313</v>
      </c>
      <c r="E286" s="1" t="s">
        <v>64</v>
      </c>
      <c r="F286" s="1" t="s">
        <v>36</v>
      </c>
      <c r="G286" s="1" t="s">
        <v>141</v>
      </c>
      <c r="H286" s="1">
        <v>3</v>
      </c>
      <c r="I286" s="1">
        <v>999</v>
      </c>
      <c r="J286" s="1">
        <v>2997</v>
      </c>
      <c r="K286" s="1" t="s">
        <v>17</v>
      </c>
    </row>
    <row r="287" spans="1:11">
      <c r="A287" s="1" t="s">
        <v>627</v>
      </c>
      <c r="B287" s="3">
        <v>46129</v>
      </c>
      <c r="C287" s="1" t="s">
        <v>110</v>
      </c>
      <c r="D287" s="1" t="s">
        <v>111</v>
      </c>
      <c r="E287" s="1" t="s">
        <v>30</v>
      </c>
      <c r="F287" s="1" t="s">
        <v>127</v>
      </c>
      <c r="G287" s="1" t="s">
        <v>100</v>
      </c>
      <c r="H287" s="1">
        <v>2</v>
      </c>
      <c r="I287" s="1">
        <v>2799</v>
      </c>
      <c r="J287" s="1">
        <v>5598</v>
      </c>
      <c r="K287" s="1" t="s">
        <v>17</v>
      </c>
    </row>
    <row r="288" spans="1:11">
      <c r="A288" s="1" t="s">
        <v>628</v>
      </c>
      <c r="B288" s="3">
        <v>46137</v>
      </c>
      <c r="C288" s="1" t="s">
        <v>136</v>
      </c>
      <c r="D288" s="1" t="s">
        <v>137</v>
      </c>
      <c r="E288" s="1" t="s">
        <v>21</v>
      </c>
      <c r="F288" s="1" t="s">
        <v>36</v>
      </c>
      <c r="G288" s="1" t="s">
        <v>37</v>
      </c>
      <c r="H288" s="1">
        <v>2</v>
      </c>
      <c r="I288" s="1">
        <v>2299</v>
      </c>
      <c r="J288" s="1">
        <v>4598</v>
      </c>
      <c r="K288" s="1" t="s">
        <v>17</v>
      </c>
    </row>
    <row r="289" spans="1:11">
      <c r="A289" s="1" t="s">
        <v>629</v>
      </c>
      <c r="B289" s="3">
        <v>46107</v>
      </c>
      <c r="C289" s="1" t="s">
        <v>330</v>
      </c>
      <c r="D289" s="1" t="s">
        <v>331</v>
      </c>
      <c r="E289" s="1" t="s">
        <v>217</v>
      </c>
      <c r="F289" s="1" t="s">
        <v>328</v>
      </c>
      <c r="G289" s="1" t="s">
        <v>52</v>
      </c>
      <c r="H289" s="1">
        <v>1</v>
      </c>
      <c r="I289" s="1">
        <v>899</v>
      </c>
      <c r="J289" s="1">
        <v>899</v>
      </c>
      <c r="K289" s="1" t="s">
        <v>17</v>
      </c>
    </row>
    <row r="290" spans="1:11">
      <c r="A290" s="1" t="s">
        <v>630</v>
      </c>
      <c r="B290" s="3">
        <v>46181</v>
      </c>
      <c r="C290" s="1" t="s">
        <v>232</v>
      </c>
      <c r="D290" s="1" t="s">
        <v>107</v>
      </c>
      <c r="E290" s="1" t="s">
        <v>73</v>
      </c>
      <c r="F290" s="1" t="s">
        <v>36</v>
      </c>
      <c r="G290" s="1" t="s">
        <v>151</v>
      </c>
      <c r="H290" s="1">
        <v>1</v>
      </c>
      <c r="I290" s="1">
        <v>799</v>
      </c>
      <c r="J290" s="1">
        <v>799</v>
      </c>
      <c r="K290" s="1" t="s">
        <v>17</v>
      </c>
    </row>
    <row r="291" spans="1:11">
      <c r="A291" s="1" t="s">
        <v>631</v>
      </c>
      <c r="B291" s="3">
        <v>46164</v>
      </c>
      <c r="C291" s="1" t="s">
        <v>565</v>
      </c>
      <c r="D291" s="1" t="s">
        <v>566</v>
      </c>
      <c r="E291" s="1" t="s">
        <v>21</v>
      </c>
      <c r="F291" s="1" t="s">
        <v>22</v>
      </c>
      <c r="G291" s="1" t="s">
        <v>23</v>
      </c>
      <c r="H291" s="1">
        <v>1</v>
      </c>
      <c r="I291" s="1">
        <v>3299</v>
      </c>
      <c r="J291" s="1">
        <v>3299</v>
      </c>
      <c r="K291" s="1" t="s">
        <v>17</v>
      </c>
    </row>
    <row r="292" spans="1:11">
      <c r="A292" s="1" t="s">
        <v>632</v>
      </c>
      <c r="B292" s="3">
        <v>46203</v>
      </c>
      <c r="C292" s="1" t="s">
        <v>201</v>
      </c>
      <c r="D292" s="1" t="s">
        <v>202</v>
      </c>
      <c r="E292" s="1" t="s">
        <v>378</v>
      </c>
      <c r="F292" s="1" t="s">
        <v>25</v>
      </c>
      <c r="G292" s="1" t="s">
        <v>69</v>
      </c>
      <c r="H292" s="1">
        <v>1</v>
      </c>
      <c r="I292" s="1">
        <v>2199</v>
      </c>
      <c r="J292" s="1">
        <v>2199</v>
      </c>
      <c r="K292" s="1" t="s">
        <v>17</v>
      </c>
    </row>
    <row r="293" spans="1:11">
      <c r="A293" s="1" t="s">
        <v>633</v>
      </c>
      <c r="B293" s="3">
        <v>46187</v>
      </c>
      <c r="C293" s="1" t="s">
        <v>526</v>
      </c>
      <c r="D293" s="1" t="s">
        <v>55</v>
      </c>
      <c r="E293" s="1" t="s">
        <v>30</v>
      </c>
      <c r="F293" s="1" t="s">
        <v>36</v>
      </c>
      <c r="G293" s="1" t="s">
        <v>141</v>
      </c>
      <c r="H293" s="1">
        <v>1</v>
      </c>
      <c r="I293" s="1">
        <v>999</v>
      </c>
      <c r="J293" s="1">
        <v>999</v>
      </c>
      <c r="K293" s="1" t="s">
        <v>17</v>
      </c>
    </row>
    <row r="294" spans="1:11">
      <c r="A294" s="1" t="s">
        <v>634</v>
      </c>
      <c r="B294" s="3">
        <v>46077</v>
      </c>
      <c r="C294" s="1" t="s">
        <v>635</v>
      </c>
      <c r="D294" s="1" t="s">
        <v>51</v>
      </c>
      <c r="E294" s="1" t="s">
        <v>30</v>
      </c>
      <c r="F294" s="1" t="s">
        <v>15</v>
      </c>
      <c r="G294" s="1" t="s">
        <v>16</v>
      </c>
      <c r="H294" s="1">
        <v>1</v>
      </c>
      <c r="I294" s="1">
        <v>1999</v>
      </c>
      <c r="J294" s="1">
        <v>1999</v>
      </c>
      <c r="K294" s="1" t="s">
        <v>17</v>
      </c>
    </row>
    <row r="295" spans="1:11">
      <c r="A295" s="1" t="s">
        <v>636</v>
      </c>
      <c r="B295" s="3">
        <v>46127</v>
      </c>
      <c r="C295" s="1" t="s">
        <v>288</v>
      </c>
      <c r="D295" s="1" t="s">
        <v>289</v>
      </c>
      <c r="E295" s="1" t="s">
        <v>14</v>
      </c>
      <c r="F295" s="1" t="s">
        <v>36</v>
      </c>
      <c r="G295" s="1" t="s">
        <v>37</v>
      </c>
      <c r="H295" s="1">
        <v>1</v>
      </c>
      <c r="I295" s="1">
        <v>2299</v>
      </c>
      <c r="J295" s="1">
        <v>2299</v>
      </c>
      <c r="K295" s="1" t="s">
        <v>17</v>
      </c>
    </row>
    <row r="296" spans="1:11">
      <c r="A296" s="1" t="s">
        <v>637</v>
      </c>
      <c r="B296" s="3">
        <v>46096</v>
      </c>
      <c r="C296" s="1" t="s">
        <v>430</v>
      </c>
      <c r="D296" s="1" t="s">
        <v>431</v>
      </c>
      <c r="E296" s="1" t="s">
        <v>513</v>
      </c>
      <c r="F296" s="1" t="s">
        <v>22</v>
      </c>
      <c r="G296" s="1" t="s">
        <v>138</v>
      </c>
      <c r="H296" s="1">
        <v>1</v>
      </c>
      <c r="I296" s="1">
        <v>599</v>
      </c>
      <c r="J296" s="1">
        <v>599</v>
      </c>
      <c r="K296" s="1" t="s">
        <v>17</v>
      </c>
    </row>
    <row r="297" spans="1:11">
      <c r="A297" s="1" t="s">
        <v>638</v>
      </c>
      <c r="B297" s="3">
        <v>46031</v>
      </c>
      <c r="C297" s="1" t="s">
        <v>193</v>
      </c>
      <c r="D297" s="1" t="s">
        <v>194</v>
      </c>
      <c r="E297" s="1" t="s">
        <v>30</v>
      </c>
      <c r="F297" s="1" t="s">
        <v>22</v>
      </c>
      <c r="G297" s="1" t="s">
        <v>43</v>
      </c>
      <c r="H297" s="1">
        <v>1</v>
      </c>
      <c r="I297" s="1">
        <v>1499</v>
      </c>
      <c r="J297" s="1">
        <v>1499</v>
      </c>
      <c r="K297" s="1" t="s">
        <v>17</v>
      </c>
    </row>
    <row r="298" spans="1:11">
      <c r="A298" s="1" t="s">
        <v>639</v>
      </c>
      <c r="B298" s="3">
        <v>46039</v>
      </c>
      <c r="C298" s="1" t="s">
        <v>612</v>
      </c>
      <c r="D298" s="1" t="s">
        <v>242</v>
      </c>
      <c r="E298" s="1" t="s">
        <v>64</v>
      </c>
      <c r="F298" s="1" t="s">
        <v>224</v>
      </c>
      <c r="G298" s="1" t="s">
        <v>26</v>
      </c>
      <c r="H298" s="1">
        <v>2</v>
      </c>
      <c r="I298" s="1">
        <v>1299</v>
      </c>
      <c r="J298" s="1">
        <v>2598</v>
      </c>
      <c r="K298" s="1" t="s">
        <v>17</v>
      </c>
    </row>
    <row r="299" spans="1:11">
      <c r="A299" s="1" t="s">
        <v>640</v>
      </c>
      <c r="B299" s="3">
        <v>46032</v>
      </c>
      <c r="C299" s="1" t="s">
        <v>641</v>
      </c>
      <c r="D299" s="1" t="s">
        <v>107</v>
      </c>
      <c r="E299" s="1" t="s">
        <v>217</v>
      </c>
      <c r="F299" s="1" t="s">
        <v>36</v>
      </c>
      <c r="G299" s="1" t="s">
        <v>151</v>
      </c>
      <c r="H299" s="1">
        <v>1</v>
      </c>
      <c r="I299" s="1">
        <v>799</v>
      </c>
      <c r="J299" s="1">
        <v>799</v>
      </c>
      <c r="K299" s="1" t="s">
        <v>17</v>
      </c>
    </row>
    <row r="300" spans="1:11">
      <c r="A300" s="1" t="s">
        <v>642</v>
      </c>
      <c r="B300" s="3">
        <v>46194</v>
      </c>
      <c r="C300" s="1" t="s">
        <v>430</v>
      </c>
      <c r="D300" s="1" t="s">
        <v>431</v>
      </c>
      <c r="E300" s="1" t="s">
        <v>104</v>
      </c>
      <c r="F300" s="1" t="s">
        <v>25</v>
      </c>
      <c r="G300" s="1" t="s">
        <v>69</v>
      </c>
      <c r="H300" s="1">
        <v>1</v>
      </c>
      <c r="I300" s="1">
        <v>2199</v>
      </c>
      <c r="J300" s="1">
        <v>2199</v>
      </c>
      <c r="K300" s="1" t="s">
        <v>17</v>
      </c>
    </row>
    <row r="301" spans="1:11">
      <c r="A301" s="1" t="s">
        <v>643</v>
      </c>
      <c r="B301" s="3">
        <v>46060</v>
      </c>
      <c r="C301" s="1" t="s">
        <v>189</v>
      </c>
      <c r="D301" s="1" t="s">
        <v>190</v>
      </c>
      <c r="E301" s="1" t="s">
        <v>104</v>
      </c>
      <c r="F301" s="1" t="s">
        <v>36</v>
      </c>
      <c r="G301" s="1" t="s">
        <v>151</v>
      </c>
      <c r="H301" s="1">
        <v>1</v>
      </c>
      <c r="I301" s="1">
        <v>799</v>
      </c>
      <c r="J301" s="1">
        <v>799</v>
      </c>
      <c r="K301" s="1" t="s">
        <v>17</v>
      </c>
    </row>
    <row r="302" spans="1:11">
      <c r="A302" s="1" t="s">
        <v>644</v>
      </c>
      <c r="B302" s="3">
        <v>46059</v>
      </c>
      <c r="C302" s="1" t="s">
        <v>645</v>
      </c>
      <c r="D302" s="1" t="s">
        <v>59</v>
      </c>
      <c r="E302" s="1" t="s">
        <v>30</v>
      </c>
      <c r="F302" s="1" t="s">
        <v>47</v>
      </c>
      <c r="G302" s="1" t="s">
        <v>100</v>
      </c>
      <c r="H302" s="1">
        <v>1</v>
      </c>
      <c r="I302" s="1">
        <v>2799</v>
      </c>
      <c r="J302" s="1">
        <v>2799</v>
      </c>
      <c r="K302" s="1" t="s">
        <v>17</v>
      </c>
    </row>
    <row r="303" spans="1:11">
      <c r="A303" s="1" t="s">
        <v>646</v>
      </c>
      <c r="B303" s="3">
        <v>46124</v>
      </c>
      <c r="C303" s="1" t="s">
        <v>268</v>
      </c>
      <c r="D303" s="1" t="s">
        <v>269</v>
      </c>
      <c r="E303" s="1" t="s">
        <v>21</v>
      </c>
      <c r="F303" s="1" t="s">
        <v>647</v>
      </c>
      <c r="G303" s="1" t="s">
        <v>37</v>
      </c>
      <c r="H303" s="1">
        <v>2</v>
      </c>
      <c r="I303" s="1">
        <v>2299</v>
      </c>
      <c r="J303" s="1">
        <v>4598</v>
      </c>
      <c r="K303" s="1" t="s">
        <v>17</v>
      </c>
    </row>
    <row r="304" spans="1:11">
      <c r="A304" s="1" t="s">
        <v>648</v>
      </c>
      <c r="B304" s="3">
        <v>46118</v>
      </c>
      <c r="C304" s="1" t="s">
        <v>201</v>
      </c>
      <c r="D304" s="1" t="s">
        <v>202</v>
      </c>
      <c r="E304" s="1" t="s">
        <v>30</v>
      </c>
      <c r="F304" s="1" t="s">
        <v>22</v>
      </c>
      <c r="G304" s="1" t="s">
        <v>43</v>
      </c>
      <c r="H304" s="1">
        <v>1</v>
      </c>
      <c r="I304" s="1">
        <v>1499</v>
      </c>
      <c r="J304" s="1">
        <v>1499</v>
      </c>
      <c r="K304" s="1" t="s">
        <v>17</v>
      </c>
    </row>
    <row r="305" spans="1:11">
      <c r="A305" s="1" t="s">
        <v>649</v>
      </c>
      <c r="B305" s="3">
        <v>46043</v>
      </c>
      <c r="C305" s="1" t="s">
        <v>560</v>
      </c>
      <c r="D305" s="1" t="s">
        <v>561</v>
      </c>
      <c r="E305" s="1" t="s">
        <v>73</v>
      </c>
      <c r="F305" s="1" t="s">
        <v>25</v>
      </c>
      <c r="G305" s="1" t="s">
        <v>26</v>
      </c>
      <c r="H305" s="1">
        <v>1</v>
      </c>
      <c r="I305" s="1">
        <v>1299</v>
      </c>
      <c r="J305" s="1">
        <v>1299</v>
      </c>
      <c r="K305" s="1" t="s">
        <v>17</v>
      </c>
    </row>
    <row r="306" spans="1:11">
      <c r="A306" s="1" t="s">
        <v>650</v>
      </c>
      <c r="B306" s="3">
        <v>46086</v>
      </c>
      <c r="C306" s="1" t="s">
        <v>551</v>
      </c>
      <c r="D306" s="1" t="s">
        <v>34</v>
      </c>
      <c r="E306" s="1" t="s">
        <v>217</v>
      </c>
      <c r="F306" s="1" t="s">
        <v>47</v>
      </c>
      <c r="G306" s="1" t="s">
        <v>56</v>
      </c>
      <c r="H306" s="1">
        <v>1</v>
      </c>
      <c r="I306" s="1">
        <v>3499</v>
      </c>
      <c r="J306" s="1">
        <v>3499</v>
      </c>
      <c r="K306" s="1" t="s">
        <v>17</v>
      </c>
    </row>
    <row r="307" spans="1:11">
      <c r="A307" s="1" t="s">
        <v>651</v>
      </c>
      <c r="B307" s="3">
        <v>46043</v>
      </c>
      <c r="C307" s="1" t="s">
        <v>288</v>
      </c>
      <c r="D307" s="1" t="s">
        <v>289</v>
      </c>
      <c r="E307" s="1" t="s">
        <v>35</v>
      </c>
      <c r="F307" s="1" t="s">
        <v>47</v>
      </c>
      <c r="G307" s="1" t="s">
        <v>48</v>
      </c>
      <c r="H307" s="1">
        <v>1</v>
      </c>
      <c r="I307" s="1">
        <v>499</v>
      </c>
      <c r="J307" s="1">
        <v>499</v>
      </c>
      <c r="K307" s="1" t="s">
        <v>17</v>
      </c>
    </row>
    <row r="308" spans="1:11">
      <c r="A308" s="1" t="s">
        <v>652</v>
      </c>
      <c r="B308" s="3">
        <v>46067</v>
      </c>
      <c r="C308" s="1" t="s">
        <v>295</v>
      </c>
      <c r="D308" s="1" t="s">
        <v>296</v>
      </c>
      <c r="E308" s="1"/>
      <c r="F308" s="1" t="s">
        <v>22</v>
      </c>
      <c r="G308" s="1" t="s">
        <v>23</v>
      </c>
      <c r="H308" s="1">
        <v>2</v>
      </c>
      <c r="I308" s="1">
        <v>3299</v>
      </c>
      <c r="J308" s="1">
        <v>6598</v>
      </c>
      <c r="K308" s="1" t="s">
        <v>17</v>
      </c>
    </row>
    <row r="309" spans="1:11">
      <c r="A309" s="1" t="s">
        <v>653</v>
      </c>
      <c r="B309" s="3">
        <v>46079</v>
      </c>
      <c r="C309" s="1" t="s">
        <v>577</v>
      </c>
      <c r="D309" s="1" t="s">
        <v>578</v>
      </c>
      <c r="E309" s="1" t="s">
        <v>119</v>
      </c>
      <c r="F309" s="1" t="s">
        <v>22</v>
      </c>
      <c r="G309" s="1" t="s">
        <v>196</v>
      </c>
      <c r="H309" s="1">
        <v>1</v>
      </c>
      <c r="I309" s="1">
        <v>2499</v>
      </c>
      <c r="J309" s="1">
        <v>2499</v>
      </c>
      <c r="K309" s="1" t="s">
        <v>17</v>
      </c>
    </row>
    <row r="310" spans="1:11">
      <c r="A310" s="1" t="s">
        <v>654</v>
      </c>
      <c r="B310" s="3">
        <v>46038</v>
      </c>
      <c r="C310" s="1" t="s">
        <v>655</v>
      </c>
      <c r="D310" s="1" t="s">
        <v>325</v>
      </c>
      <c r="E310" s="1" t="s">
        <v>217</v>
      </c>
      <c r="F310" s="1" t="s">
        <v>25</v>
      </c>
      <c r="G310" s="1" t="s">
        <v>69</v>
      </c>
      <c r="H310" s="1">
        <v>1</v>
      </c>
      <c r="I310" s="1">
        <v>2199</v>
      </c>
      <c r="J310" s="1">
        <v>2199</v>
      </c>
      <c r="K310" s="1" t="s">
        <v>17</v>
      </c>
    </row>
    <row r="311" spans="1:11">
      <c r="A311" s="1" t="s">
        <v>656</v>
      </c>
      <c r="B311" s="3">
        <v>46160</v>
      </c>
      <c r="C311" s="1" t="s">
        <v>98</v>
      </c>
      <c r="D311" s="1" t="s">
        <v>99</v>
      </c>
      <c r="E311" s="1" t="s">
        <v>64</v>
      </c>
      <c r="F311" s="1" t="s">
        <v>25</v>
      </c>
      <c r="G311" s="1" t="s">
        <v>26</v>
      </c>
      <c r="H311" s="1">
        <v>1</v>
      </c>
      <c r="I311" s="1">
        <v>1299</v>
      </c>
      <c r="J311" s="1">
        <v>1299</v>
      </c>
      <c r="K311" s="1" t="s">
        <v>17</v>
      </c>
    </row>
    <row r="312" spans="1:11">
      <c r="A312" s="1" t="s">
        <v>657</v>
      </c>
      <c r="B312" s="3">
        <v>46172</v>
      </c>
      <c r="C312" s="1" t="s">
        <v>408</v>
      </c>
      <c r="D312" s="1" t="s">
        <v>409</v>
      </c>
      <c r="E312" s="1"/>
      <c r="F312" s="1" t="s">
        <v>36</v>
      </c>
      <c r="G312" s="1" t="s">
        <v>151</v>
      </c>
      <c r="H312" s="1">
        <v>2</v>
      </c>
      <c r="I312" s="1">
        <v>799</v>
      </c>
      <c r="J312" s="1">
        <v>1598</v>
      </c>
      <c r="K312" s="1" t="s">
        <v>17</v>
      </c>
    </row>
    <row r="313" spans="1:11">
      <c r="A313" s="1" t="s">
        <v>658</v>
      </c>
      <c r="B313" s="3">
        <v>46086</v>
      </c>
      <c r="C313" s="1" t="s">
        <v>92</v>
      </c>
      <c r="D313" s="1" t="s">
        <v>93</v>
      </c>
      <c r="E313" s="1" t="s">
        <v>73</v>
      </c>
      <c r="F313" s="1" t="s">
        <v>15</v>
      </c>
      <c r="G313" s="1" t="s">
        <v>16</v>
      </c>
      <c r="H313" s="1">
        <v>1</v>
      </c>
      <c r="I313" s="1">
        <v>1999</v>
      </c>
      <c r="J313" s="1">
        <v>1999</v>
      </c>
      <c r="K313" s="1" t="s">
        <v>17</v>
      </c>
    </row>
    <row r="314" spans="1:11">
      <c r="A314" s="1" t="s">
        <v>659</v>
      </c>
      <c r="B314" s="3">
        <v>46170</v>
      </c>
      <c r="C314" s="1" t="s">
        <v>660</v>
      </c>
      <c r="D314" s="1" t="s">
        <v>661</v>
      </c>
      <c r="E314" s="1" t="s">
        <v>185</v>
      </c>
      <c r="F314" s="1" t="s">
        <v>36</v>
      </c>
      <c r="G314" s="1" t="s">
        <v>37</v>
      </c>
      <c r="H314" s="1">
        <v>2</v>
      </c>
      <c r="I314" s="1">
        <v>2299</v>
      </c>
      <c r="J314" s="1">
        <v>4598</v>
      </c>
      <c r="K314" s="1" t="s">
        <v>17</v>
      </c>
    </row>
    <row r="315" spans="1:11">
      <c r="A315" s="1" t="s">
        <v>662</v>
      </c>
      <c r="B315" s="3">
        <v>46138</v>
      </c>
      <c r="C315" s="1" t="s">
        <v>425</v>
      </c>
      <c r="D315" s="1" t="s">
        <v>426</v>
      </c>
      <c r="E315" s="1" t="s">
        <v>14</v>
      </c>
      <c r="F315" s="1" t="s">
        <v>22</v>
      </c>
      <c r="G315" s="1" t="s">
        <v>43</v>
      </c>
      <c r="H315" s="1">
        <v>1</v>
      </c>
      <c r="I315" s="1">
        <v>1499</v>
      </c>
      <c r="J315" s="1">
        <v>1499</v>
      </c>
      <c r="K315" s="1" t="s">
        <v>17</v>
      </c>
    </row>
    <row r="316" spans="1:11">
      <c r="A316" s="1" t="s">
        <v>663</v>
      </c>
      <c r="B316" s="3">
        <v>46063</v>
      </c>
      <c r="C316" s="1" t="s">
        <v>304</v>
      </c>
      <c r="D316" s="1" t="s">
        <v>305</v>
      </c>
      <c r="E316" s="1" t="s">
        <v>21</v>
      </c>
      <c r="F316" s="1" t="s">
        <v>15</v>
      </c>
      <c r="G316" s="1" t="s">
        <v>162</v>
      </c>
      <c r="H316" s="1">
        <v>1</v>
      </c>
      <c r="I316" s="1">
        <v>1599</v>
      </c>
      <c r="J316" s="1">
        <v>1599</v>
      </c>
      <c r="K316" s="1" t="s">
        <v>38</v>
      </c>
    </row>
    <row r="317" spans="1:11">
      <c r="A317" s="1" t="s">
        <v>664</v>
      </c>
      <c r="B317" s="3">
        <v>46044</v>
      </c>
      <c r="C317" s="1" t="s">
        <v>291</v>
      </c>
      <c r="D317" s="1" t="s">
        <v>340</v>
      </c>
      <c r="E317" s="1" t="s">
        <v>665</v>
      </c>
      <c r="F317" s="1" t="s">
        <v>47</v>
      </c>
      <c r="G317" s="1" t="s">
        <v>48</v>
      </c>
      <c r="H317" s="1">
        <v>1</v>
      </c>
      <c r="I317" s="1">
        <v>499</v>
      </c>
      <c r="J317" s="1">
        <v>499</v>
      </c>
      <c r="K317" s="1" t="s">
        <v>17</v>
      </c>
    </row>
    <row r="318" spans="1:11">
      <c r="A318" s="1" t="s">
        <v>666</v>
      </c>
      <c r="B318" s="3">
        <v>46192</v>
      </c>
      <c r="C318" s="1" t="s">
        <v>459</v>
      </c>
      <c r="D318" s="1" t="s">
        <v>319</v>
      </c>
      <c r="E318" s="1" t="s">
        <v>21</v>
      </c>
      <c r="F318" s="1" t="s">
        <v>22</v>
      </c>
      <c r="G318" s="1" t="s">
        <v>196</v>
      </c>
      <c r="H318" s="1">
        <v>1</v>
      </c>
      <c r="I318" s="1">
        <v>2499</v>
      </c>
      <c r="J318" s="1">
        <v>2499</v>
      </c>
      <c r="K318" s="1" t="s">
        <v>17</v>
      </c>
    </row>
    <row r="319" spans="1:11">
      <c r="A319" s="1" t="s">
        <v>667</v>
      </c>
      <c r="B319" s="3">
        <v>46035</v>
      </c>
      <c r="C319" s="1" t="s">
        <v>551</v>
      </c>
      <c r="D319" s="1" t="s">
        <v>34</v>
      </c>
      <c r="E319" s="1" t="s">
        <v>217</v>
      </c>
      <c r="F319" s="1" t="s">
        <v>25</v>
      </c>
      <c r="G319" s="1" t="s">
        <v>26</v>
      </c>
      <c r="H319" s="1">
        <v>1</v>
      </c>
      <c r="I319" s="1">
        <v>1299</v>
      </c>
      <c r="J319" s="1">
        <v>1299</v>
      </c>
      <c r="K319" s="1" t="s">
        <v>17</v>
      </c>
    </row>
    <row r="320" spans="1:11">
      <c r="A320" s="1" t="s">
        <v>668</v>
      </c>
      <c r="B320" s="1" t="s">
        <v>669</v>
      </c>
      <c r="C320" s="1" t="s">
        <v>324</v>
      </c>
      <c r="D320" s="1" t="s">
        <v>325</v>
      </c>
      <c r="E320" s="1" t="s">
        <v>30</v>
      </c>
      <c r="F320" s="1" t="s">
        <v>383</v>
      </c>
      <c r="G320" s="1" t="s">
        <v>162</v>
      </c>
      <c r="H320" s="1">
        <v>2</v>
      </c>
      <c r="I320" s="1">
        <v>1599</v>
      </c>
      <c r="J320" s="1"/>
      <c r="K320" s="1" t="s">
        <v>17</v>
      </c>
    </row>
    <row r="321" spans="1:11">
      <c r="A321" s="1" t="s">
        <v>670</v>
      </c>
      <c r="B321" s="3">
        <v>46169</v>
      </c>
      <c r="C321" s="1" t="s">
        <v>179</v>
      </c>
      <c r="D321" s="1" t="s">
        <v>180</v>
      </c>
      <c r="E321" s="1" t="s">
        <v>104</v>
      </c>
      <c r="F321" s="1" t="s">
        <v>22</v>
      </c>
      <c r="G321" s="1" t="s">
        <v>196</v>
      </c>
      <c r="H321" s="1">
        <v>1</v>
      </c>
      <c r="I321" s="1">
        <v>2499</v>
      </c>
      <c r="J321" s="1">
        <v>2499</v>
      </c>
      <c r="K321" s="1" t="s">
        <v>17</v>
      </c>
    </row>
    <row r="322" spans="1:11">
      <c r="A322" s="1" t="s">
        <v>671</v>
      </c>
      <c r="B322" s="3">
        <v>46146</v>
      </c>
      <c r="C322" s="1" t="s">
        <v>102</v>
      </c>
      <c r="D322" s="1" t="s">
        <v>103</v>
      </c>
      <c r="E322" s="1" t="s">
        <v>104</v>
      </c>
      <c r="F322" s="1" t="s">
        <v>25</v>
      </c>
      <c r="G322" s="1" t="s">
        <v>26</v>
      </c>
      <c r="H322" s="1">
        <v>2</v>
      </c>
      <c r="I322" s="1">
        <v>1299</v>
      </c>
      <c r="J322" s="1">
        <v>2598</v>
      </c>
      <c r="K322" s="1" t="s">
        <v>17</v>
      </c>
    </row>
    <row r="323" spans="1:11">
      <c r="A323" s="1" t="s">
        <v>672</v>
      </c>
      <c r="B323" s="3">
        <v>46148</v>
      </c>
      <c r="C323" s="1" t="s">
        <v>660</v>
      </c>
      <c r="D323" s="1" t="s">
        <v>661</v>
      </c>
      <c r="E323" s="1" t="s">
        <v>21</v>
      </c>
      <c r="F323" s="1" t="s">
        <v>15</v>
      </c>
      <c r="G323" s="1" t="s">
        <v>16</v>
      </c>
      <c r="H323" s="1">
        <v>1</v>
      </c>
      <c r="I323" s="1">
        <v>1999</v>
      </c>
      <c r="J323" s="1">
        <v>1999</v>
      </c>
      <c r="K323" s="1" t="s">
        <v>17</v>
      </c>
    </row>
    <row r="324" spans="1:11">
      <c r="A324" s="1" t="s">
        <v>57</v>
      </c>
      <c r="B324" s="3">
        <v>46051</v>
      </c>
      <c r="C324" s="1" t="s">
        <v>58</v>
      </c>
      <c r="D324" s="1" t="s">
        <v>59</v>
      </c>
      <c r="E324" s="1" t="s">
        <v>14</v>
      </c>
      <c r="F324" s="1" t="s">
        <v>25</v>
      </c>
      <c r="G324" s="1" t="s">
        <v>26</v>
      </c>
      <c r="H324" s="1">
        <v>1</v>
      </c>
      <c r="I324" s="1">
        <v>1299</v>
      </c>
      <c r="J324" s="1">
        <v>1299</v>
      </c>
      <c r="K324" s="1" t="s">
        <v>60</v>
      </c>
    </row>
    <row r="325" spans="1:11">
      <c r="A325" s="1" t="s">
        <v>673</v>
      </c>
      <c r="B325" s="3">
        <v>46135</v>
      </c>
      <c r="C325" s="1" t="s">
        <v>92</v>
      </c>
      <c r="D325" s="1" t="s">
        <v>93</v>
      </c>
      <c r="E325" s="1" t="s">
        <v>73</v>
      </c>
      <c r="F325" s="1" t="s">
        <v>36</v>
      </c>
      <c r="G325" s="1" t="s">
        <v>151</v>
      </c>
      <c r="H325" s="1">
        <v>2</v>
      </c>
      <c r="I325" s="1">
        <v>799</v>
      </c>
      <c r="J325" s="1">
        <v>1598</v>
      </c>
      <c r="K325" s="1" t="s">
        <v>17</v>
      </c>
    </row>
    <row r="326" spans="1:11">
      <c r="A326" s="1" t="s">
        <v>674</v>
      </c>
      <c r="B326" s="3">
        <v>46028</v>
      </c>
      <c r="C326" s="1" t="s">
        <v>450</v>
      </c>
      <c r="D326" s="1" t="s">
        <v>451</v>
      </c>
      <c r="E326" s="1" t="s">
        <v>64</v>
      </c>
      <c r="F326" s="1" t="s">
        <v>328</v>
      </c>
      <c r="G326" s="1" t="s">
        <v>162</v>
      </c>
      <c r="H326" s="1">
        <v>3</v>
      </c>
      <c r="I326" s="1">
        <v>1599</v>
      </c>
      <c r="J326" s="1">
        <v>4797</v>
      </c>
      <c r="K326" s="1" t="s">
        <v>17</v>
      </c>
    </row>
    <row r="327" spans="1:11">
      <c r="A327" s="1" t="s">
        <v>675</v>
      </c>
      <c r="B327" s="3">
        <v>46133</v>
      </c>
      <c r="C327" s="1" t="s">
        <v>467</v>
      </c>
      <c r="D327" s="1" t="s">
        <v>676</v>
      </c>
      <c r="E327" s="1" t="s">
        <v>217</v>
      </c>
      <c r="F327" s="1" t="s">
        <v>36</v>
      </c>
      <c r="G327" s="1" t="s">
        <v>151</v>
      </c>
      <c r="H327" s="1">
        <v>2</v>
      </c>
      <c r="I327" s="1">
        <v>799</v>
      </c>
      <c r="J327" s="1">
        <v>1598</v>
      </c>
      <c r="K327" s="1" t="s">
        <v>17</v>
      </c>
    </row>
    <row r="328" spans="1:11">
      <c r="A328" s="1" t="s">
        <v>677</v>
      </c>
      <c r="B328" s="3">
        <v>46179</v>
      </c>
      <c r="C328" s="1" t="s">
        <v>201</v>
      </c>
      <c r="D328" s="1" t="s">
        <v>202</v>
      </c>
      <c r="E328" s="1" t="s">
        <v>30</v>
      </c>
      <c r="F328" s="1" t="s">
        <v>36</v>
      </c>
      <c r="G328" s="1" t="s">
        <v>141</v>
      </c>
      <c r="H328" s="1">
        <v>1</v>
      </c>
      <c r="I328" s="1">
        <v>999</v>
      </c>
      <c r="J328" s="1">
        <v>999</v>
      </c>
      <c r="K328" s="1" t="s">
        <v>38</v>
      </c>
    </row>
    <row r="329" spans="1:11">
      <c r="A329" s="1" t="s">
        <v>678</v>
      </c>
      <c r="B329" s="3">
        <v>46182</v>
      </c>
      <c r="C329" s="1" t="s">
        <v>261</v>
      </c>
      <c r="D329" s="1" t="s">
        <v>262</v>
      </c>
      <c r="E329" s="1" t="s">
        <v>64</v>
      </c>
      <c r="F329" s="1" t="s">
        <v>25</v>
      </c>
      <c r="G329" s="1" t="s">
        <v>115</v>
      </c>
      <c r="H329" s="1">
        <v>1</v>
      </c>
      <c r="I329" s="1">
        <v>3999</v>
      </c>
      <c r="J329" s="1">
        <v>3999</v>
      </c>
      <c r="K329" s="1" t="s">
        <v>17</v>
      </c>
    </row>
    <row r="330" spans="1:11">
      <c r="A330" s="1" t="s">
        <v>679</v>
      </c>
      <c r="B330" s="3">
        <v>46082</v>
      </c>
      <c r="C330" s="1" t="s">
        <v>680</v>
      </c>
      <c r="D330" s="1" t="s">
        <v>436</v>
      </c>
      <c r="E330" s="1" t="s">
        <v>681</v>
      </c>
      <c r="F330" s="1" t="s">
        <v>25</v>
      </c>
      <c r="G330" s="1" t="s">
        <v>115</v>
      </c>
      <c r="H330" s="1">
        <v>1</v>
      </c>
      <c r="I330" s="1">
        <v>3999</v>
      </c>
      <c r="J330" s="1">
        <v>3999</v>
      </c>
      <c r="K330" s="1" t="s">
        <v>17</v>
      </c>
    </row>
    <row r="331" spans="1:11">
      <c r="A331" s="1" t="s">
        <v>682</v>
      </c>
      <c r="B331" s="3">
        <v>46147</v>
      </c>
      <c r="C331" s="1" t="s">
        <v>312</v>
      </c>
      <c r="D331" s="1" t="s">
        <v>313</v>
      </c>
      <c r="E331" s="1" t="s">
        <v>21</v>
      </c>
      <c r="F331" s="1" t="s">
        <v>15</v>
      </c>
      <c r="G331" s="1" t="s">
        <v>16</v>
      </c>
      <c r="H331" s="1">
        <v>1</v>
      </c>
      <c r="I331" s="1">
        <v>1999</v>
      </c>
      <c r="J331" s="1">
        <v>1999</v>
      </c>
      <c r="K331" s="1" t="s">
        <v>222</v>
      </c>
    </row>
    <row r="332" spans="1:11">
      <c r="A332" s="1" t="s">
        <v>683</v>
      </c>
      <c r="B332" s="3">
        <v>46141</v>
      </c>
      <c r="C332" s="1" t="s">
        <v>425</v>
      </c>
      <c r="D332" s="1" t="s">
        <v>684</v>
      </c>
      <c r="E332" s="1" t="s">
        <v>14</v>
      </c>
      <c r="F332" s="1" t="s">
        <v>25</v>
      </c>
      <c r="G332" s="1" t="s">
        <v>26</v>
      </c>
      <c r="H332" s="1">
        <v>1</v>
      </c>
      <c r="I332" s="1">
        <v>1299</v>
      </c>
      <c r="J332" s="1">
        <v>1299</v>
      </c>
      <c r="K332" s="1" t="s">
        <v>17</v>
      </c>
    </row>
    <row r="333" spans="1:11">
      <c r="A333" s="1" t="s">
        <v>685</v>
      </c>
      <c r="B333" s="3">
        <v>46113</v>
      </c>
      <c r="C333" s="1" t="s">
        <v>110</v>
      </c>
      <c r="D333" s="1" t="s">
        <v>111</v>
      </c>
      <c r="E333" s="1" t="s">
        <v>30</v>
      </c>
      <c r="F333" s="1" t="s">
        <v>15</v>
      </c>
      <c r="G333" s="1" t="s">
        <v>16</v>
      </c>
      <c r="H333" s="1">
        <v>1</v>
      </c>
      <c r="I333" s="1">
        <v>1999</v>
      </c>
      <c r="J333" s="1">
        <v>1999</v>
      </c>
      <c r="K333" s="1" t="s">
        <v>17</v>
      </c>
    </row>
    <row r="334" spans="1:11">
      <c r="A334" s="1" t="s">
        <v>686</v>
      </c>
      <c r="B334" s="3">
        <v>46039</v>
      </c>
      <c r="C334" s="1" t="s">
        <v>136</v>
      </c>
      <c r="D334" s="1" t="s">
        <v>137</v>
      </c>
      <c r="E334" s="1" t="s">
        <v>21</v>
      </c>
      <c r="F334" s="1" t="s">
        <v>22</v>
      </c>
      <c r="G334" s="1" t="s">
        <v>196</v>
      </c>
      <c r="H334" s="1">
        <v>1</v>
      </c>
      <c r="I334" s="1">
        <v>2499</v>
      </c>
      <c r="J334" s="1">
        <v>2499</v>
      </c>
      <c r="K334" s="1" t="s">
        <v>17</v>
      </c>
    </row>
    <row r="335" spans="1:11">
      <c r="A335" s="1" t="s">
        <v>687</v>
      </c>
      <c r="B335" s="3">
        <v>46125</v>
      </c>
      <c r="C335" s="1" t="s">
        <v>210</v>
      </c>
      <c r="D335" s="1" t="s">
        <v>211</v>
      </c>
      <c r="E335" s="1" t="s">
        <v>14</v>
      </c>
      <c r="F335" s="1" t="s">
        <v>47</v>
      </c>
      <c r="G335" s="1" t="s">
        <v>48</v>
      </c>
      <c r="H335" s="1">
        <v>1</v>
      </c>
      <c r="I335" s="1">
        <v>499</v>
      </c>
      <c r="J335" s="1">
        <v>499</v>
      </c>
      <c r="K335" s="1" t="s">
        <v>222</v>
      </c>
    </row>
    <row r="336" spans="1:11">
      <c r="A336" s="1" t="s">
        <v>688</v>
      </c>
      <c r="B336" s="3">
        <v>46095</v>
      </c>
      <c r="C336" s="1" t="s">
        <v>216</v>
      </c>
      <c r="D336" s="1" t="s">
        <v>202</v>
      </c>
      <c r="E336" s="1" t="s">
        <v>472</v>
      </c>
      <c r="F336" s="1" t="s">
        <v>47</v>
      </c>
      <c r="G336" s="1" t="s">
        <v>128</v>
      </c>
      <c r="H336" s="1">
        <v>2</v>
      </c>
      <c r="I336" s="1">
        <v>1199</v>
      </c>
      <c r="J336" s="1">
        <v>2398</v>
      </c>
      <c r="K336" s="1" t="s">
        <v>17</v>
      </c>
    </row>
    <row r="337" spans="1:11">
      <c r="A337" s="1" t="s">
        <v>689</v>
      </c>
      <c r="B337" s="3">
        <v>46150</v>
      </c>
      <c r="C337" s="1" t="s">
        <v>110</v>
      </c>
      <c r="D337" s="1" t="s">
        <v>111</v>
      </c>
      <c r="E337" s="1" t="s">
        <v>30</v>
      </c>
      <c r="F337" s="1" t="s">
        <v>47</v>
      </c>
      <c r="G337" s="1" t="s">
        <v>100</v>
      </c>
      <c r="H337" s="1">
        <v>2</v>
      </c>
      <c r="I337" s="1">
        <v>2799</v>
      </c>
      <c r="J337" s="1">
        <v>-5598</v>
      </c>
      <c r="K337" s="1" t="s">
        <v>17</v>
      </c>
    </row>
    <row r="338" spans="1:11">
      <c r="A338" s="1" t="s">
        <v>690</v>
      </c>
      <c r="B338" s="3">
        <v>46189</v>
      </c>
      <c r="C338" s="1" t="s">
        <v>308</v>
      </c>
      <c r="D338" s="1" t="s">
        <v>309</v>
      </c>
      <c r="E338" s="1" t="s">
        <v>104</v>
      </c>
      <c r="F338" s="1" t="s">
        <v>15</v>
      </c>
      <c r="G338" s="1" t="s">
        <v>16</v>
      </c>
      <c r="H338" s="1">
        <v>1</v>
      </c>
      <c r="I338" s="1">
        <v>1999</v>
      </c>
      <c r="J338" s="1">
        <v>1999</v>
      </c>
      <c r="K338" s="1" t="s">
        <v>17</v>
      </c>
    </row>
    <row r="339" spans="1:11">
      <c r="A339" s="1" t="s">
        <v>691</v>
      </c>
      <c r="B339" s="3">
        <v>46181</v>
      </c>
      <c r="C339" s="1" t="s">
        <v>422</v>
      </c>
      <c r="D339" s="1" t="s">
        <v>173</v>
      </c>
      <c r="E339" s="1" t="s">
        <v>217</v>
      </c>
      <c r="F339" s="1" t="s">
        <v>692</v>
      </c>
      <c r="G339" s="1" t="s">
        <v>23</v>
      </c>
      <c r="H339" s="1">
        <v>1</v>
      </c>
      <c r="I339" s="1">
        <v>3299</v>
      </c>
      <c r="J339" s="1">
        <v>3299</v>
      </c>
      <c r="K339" s="1" t="s">
        <v>38</v>
      </c>
    </row>
    <row r="340" spans="1:11">
      <c r="A340" s="1" t="s">
        <v>693</v>
      </c>
      <c r="B340" s="3">
        <v>46120</v>
      </c>
      <c r="C340" s="1" t="s">
        <v>475</v>
      </c>
      <c r="D340" s="1" t="s">
        <v>84</v>
      </c>
      <c r="E340" s="1" t="s">
        <v>694</v>
      </c>
      <c r="F340" s="1" t="s">
        <v>36</v>
      </c>
      <c r="G340" s="1" t="s">
        <v>141</v>
      </c>
      <c r="H340" s="1">
        <v>1</v>
      </c>
      <c r="I340" s="1">
        <v>999</v>
      </c>
      <c r="J340" s="1">
        <v>999</v>
      </c>
      <c r="K340" s="1" t="s">
        <v>17</v>
      </c>
    </row>
    <row r="341" spans="1:11">
      <c r="A341" s="1" t="s">
        <v>695</v>
      </c>
      <c r="B341" s="3">
        <v>46107</v>
      </c>
      <c r="C341" s="1" t="s">
        <v>168</v>
      </c>
      <c r="D341" s="1" t="s">
        <v>281</v>
      </c>
      <c r="E341" s="1" t="s">
        <v>236</v>
      </c>
      <c r="F341" s="1" t="s">
        <v>47</v>
      </c>
      <c r="G341" s="1" t="s">
        <v>100</v>
      </c>
      <c r="H341" s="1">
        <v>2</v>
      </c>
      <c r="I341" s="1">
        <v>2799</v>
      </c>
      <c r="J341" s="1">
        <v>5598</v>
      </c>
      <c r="K341" s="1" t="s">
        <v>222</v>
      </c>
    </row>
    <row r="342" spans="1:11">
      <c r="A342" s="1" t="s">
        <v>696</v>
      </c>
      <c r="B342" s="3">
        <v>46081</v>
      </c>
      <c r="C342" s="1" t="s">
        <v>216</v>
      </c>
      <c r="D342" s="1" t="s">
        <v>202</v>
      </c>
      <c r="E342" s="1" t="s">
        <v>217</v>
      </c>
      <c r="F342" s="1" t="s">
        <v>47</v>
      </c>
      <c r="G342" s="1" t="s">
        <v>100</v>
      </c>
      <c r="H342" s="1">
        <v>1</v>
      </c>
      <c r="I342" s="1">
        <v>2799</v>
      </c>
      <c r="J342" s="1">
        <v>2799</v>
      </c>
      <c r="K342" s="1" t="s">
        <v>17</v>
      </c>
    </row>
    <row r="343" spans="1:11">
      <c r="A343" s="1" t="s">
        <v>697</v>
      </c>
      <c r="B343" s="3">
        <v>46056</v>
      </c>
      <c r="C343" s="1"/>
      <c r="D343" s="1" t="s">
        <v>426</v>
      </c>
      <c r="E343" s="1" t="s">
        <v>14</v>
      </c>
      <c r="F343" s="1" t="s">
        <v>36</v>
      </c>
      <c r="G343" s="1" t="s">
        <v>151</v>
      </c>
      <c r="H343" s="1">
        <v>2</v>
      </c>
      <c r="I343" s="1">
        <v>799</v>
      </c>
      <c r="J343" s="1">
        <v>1598</v>
      </c>
      <c r="K343" s="1" t="s">
        <v>17</v>
      </c>
    </row>
    <row r="344" spans="1:11">
      <c r="A344" s="1" t="s">
        <v>698</v>
      </c>
      <c r="B344" s="3">
        <v>46030</v>
      </c>
      <c r="C344" s="1" t="s">
        <v>75</v>
      </c>
      <c r="D344" s="1" t="s">
        <v>76</v>
      </c>
      <c r="E344" s="1" t="s">
        <v>64</v>
      </c>
      <c r="F344" s="1" t="s">
        <v>22</v>
      </c>
      <c r="G344" s="1" t="s">
        <v>196</v>
      </c>
      <c r="H344" s="1">
        <v>1</v>
      </c>
      <c r="I344" s="1">
        <v>2499</v>
      </c>
      <c r="J344" s="1">
        <v>2499</v>
      </c>
      <c r="K344" s="1" t="s">
        <v>17</v>
      </c>
    </row>
    <row r="345" spans="1:11">
      <c r="A345" s="1" t="s">
        <v>699</v>
      </c>
      <c r="B345" s="3">
        <v>46097</v>
      </c>
      <c r="C345" s="1" t="s">
        <v>133</v>
      </c>
      <c r="D345" s="1" t="s">
        <v>134</v>
      </c>
      <c r="E345" s="1" t="s">
        <v>104</v>
      </c>
      <c r="F345" s="1" t="s">
        <v>25</v>
      </c>
      <c r="G345" s="1" t="s">
        <v>69</v>
      </c>
      <c r="H345" s="1">
        <v>3</v>
      </c>
      <c r="I345" s="1">
        <v>2199</v>
      </c>
      <c r="J345" s="1">
        <v>6597</v>
      </c>
      <c r="K345" s="1" t="s">
        <v>17</v>
      </c>
    </row>
    <row r="346" spans="1:11">
      <c r="A346" s="1" t="s">
        <v>700</v>
      </c>
      <c r="B346" s="3">
        <v>46040</v>
      </c>
      <c r="C346" s="1" t="s">
        <v>645</v>
      </c>
      <c r="D346" s="1" t="s">
        <v>59</v>
      </c>
      <c r="E346" s="1" t="s">
        <v>30</v>
      </c>
      <c r="F346" s="1" t="s">
        <v>36</v>
      </c>
      <c r="G346" s="1" t="s">
        <v>141</v>
      </c>
      <c r="H346" s="1">
        <v>2</v>
      </c>
      <c r="I346" s="1">
        <v>999</v>
      </c>
      <c r="J346" s="1">
        <v>1998</v>
      </c>
      <c r="K346" s="1" t="s">
        <v>120</v>
      </c>
    </row>
    <row r="347" spans="1:11">
      <c r="A347" s="1" t="s">
        <v>701</v>
      </c>
      <c r="B347" s="3">
        <v>46043</v>
      </c>
      <c r="C347" s="1" t="s">
        <v>475</v>
      </c>
      <c r="D347" s="1" t="s">
        <v>84</v>
      </c>
      <c r="E347" s="1" t="s">
        <v>73</v>
      </c>
      <c r="F347" s="1" t="s">
        <v>25</v>
      </c>
      <c r="G347" s="1" t="s">
        <v>26</v>
      </c>
      <c r="H347" s="1">
        <v>1</v>
      </c>
      <c r="I347" s="1">
        <v>1299</v>
      </c>
      <c r="J347" s="1">
        <v>1299</v>
      </c>
      <c r="K347" s="1" t="s">
        <v>38</v>
      </c>
    </row>
    <row r="348" spans="1:11">
      <c r="A348" s="1" t="s">
        <v>702</v>
      </c>
      <c r="B348" s="3">
        <v>46125</v>
      </c>
      <c r="C348" s="1" t="s">
        <v>92</v>
      </c>
      <c r="D348" s="1" t="s">
        <v>93</v>
      </c>
      <c r="E348" s="1" t="s">
        <v>541</v>
      </c>
      <c r="F348" s="1" t="s">
        <v>25</v>
      </c>
      <c r="G348" s="1" t="s">
        <v>115</v>
      </c>
      <c r="H348" s="1">
        <v>1</v>
      </c>
      <c r="I348" s="1">
        <v>3999</v>
      </c>
      <c r="J348" s="1">
        <v>3999</v>
      </c>
      <c r="K348" s="1" t="s">
        <v>17</v>
      </c>
    </row>
    <row r="349" spans="1:11">
      <c r="A349" s="1" t="s">
        <v>703</v>
      </c>
      <c r="B349" s="3">
        <v>46143</v>
      </c>
      <c r="C349" s="1" t="s">
        <v>288</v>
      </c>
      <c r="D349" s="1" t="s">
        <v>289</v>
      </c>
      <c r="E349" s="1" t="s">
        <v>14</v>
      </c>
      <c r="F349" s="1" t="s">
        <v>47</v>
      </c>
      <c r="G349" s="1" t="s">
        <v>56</v>
      </c>
      <c r="H349" s="1">
        <v>1</v>
      </c>
      <c r="I349" s="1">
        <v>3499</v>
      </c>
      <c r="J349" s="1">
        <v>3499</v>
      </c>
      <c r="K349" s="1" t="s">
        <v>704</v>
      </c>
    </row>
    <row r="350" spans="1:11">
      <c r="A350" s="1" t="s">
        <v>705</v>
      </c>
      <c r="B350" s="3">
        <v>46147</v>
      </c>
      <c r="C350" s="1" t="s">
        <v>87</v>
      </c>
      <c r="D350" s="1" t="s">
        <v>88</v>
      </c>
      <c r="E350" s="1" t="s">
        <v>89</v>
      </c>
      <c r="F350" s="1" t="s">
        <v>15</v>
      </c>
      <c r="G350" s="1" t="s">
        <v>52</v>
      </c>
      <c r="H350" s="1">
        <v>1</v>
      </c>
      <c r="I350" s="1">
        <v>899</v>
      </c>
      <c r="J350" s="1">
        <v>899</v>
      </c>
      <c r="K350" s="1" t="s">
        <v>310</v>
      </c>
    </row>
    <row r="351" spans="1:11">
      <c r="A351" s="1" t="s">
        <v>706</v>
      </c>
      <c r="B351" s="3">
        <v>46202</v>
      </c>
      <c r="C351" s="1" t="s">
        <v>288</v>
      </c>
      <c r="D351" s="1" t="s">
        <v>289</v>
      </c>
      <c r="E351" s="1" t="s">
        <v>14</v>
      </c>
      <c r="F351" s="1" t="s">
        <v>36</v>
      </c>
      <c r="G351" s="1" t="s">
        <v>37</v>
      </c>
      <c r="H351" s="1">
        <v>1</v>
      </c>
      <c r="I351" s="1">
        <v>2299</v>
      </c>
      <c r="J351" s="1">
        <v>2299</v>
      </c>
      <c r="K351" s="1" t="s">
        <v>17</v>
      </c>
    </row>
    <row r="352" spans="1:11">
      <c r="A352" s="1" t="s">
        <v>632</v>
      </c>
      <c r="B352" s="3">
        <v>46203</v>
      </c>
      <c r="C352" s="1" t="s">
        <v>201</v>
      </c>
      <c r="D352" s="1" t="s">
        <v>202</v>
      </c>
      <c r="E352" s="1" t="s">
        <v>378</v>
      </c>
      <c r="F352" s="1" t="s">
        <v>25</v>
      </c>
      <c r="G352" s="1" t="s">
        <v>69</v>
      </c>
      <c r="H352" s="1">
        <v>1</v>
      </c>
      <c r="I352" s="1">
        <v>2199</v>
      </c>
      <c r="J352" s="1">
        <v>2199</v>
      </c>
      <c r="K352" s="1" t="s">
        <v>17</v>
      </c>
    </row>
    <row r="353" spans="1:11">
      <c r="A353" s="1" t="s">
        <v>707</v>
      </c>
      <c r="B353" s="3">
        <v>46199</v>
      </c>
      <c r="C353" s="1" t="s">
        <v>504</v>
      </c>
      <c r="D353" s="1" t="s">
        <v>505</v>
      </c>
      <c r="E353" s="1" t="s">
        <v>708</v>
      </c>
      <c r="F353" s="1" t="s">
        <v>47</v>
      </c>
      <c r="G353" s="1" t="s">
        <v>48</v>
      </c>
      <c r="H353" s="1">
        <v>1</v>
      </c>
      <c r="I353" s="1">
        <v>499</v>
      </c>
      <c r="J353" s="1">
        <v>499</v>
      </c>
      <c r="K353" s="1" t="s">
        <v>17</v>
      </c>
    </row>
    <row r="354" spans="1:11">
      <c r="A354" s="1" t="s">
        <v>709</v>
      </c>
      <c r="B354" s="3">
        <v>46198</v>
      </c>
      <c r="C354" s="1" t="s">
        <v>490</v>
      </c>
      <c r="D354" s="1" t="s">
        <v>491</v>
      </c>
      <c r="E354" s="1" t="s">
        <v>217</v>
      </c>
      <c r="F354" s="1" t="s">
        <v>47</v>
      </c>
      <c r="G354" s="1" t="s">
        <v>56</v>
      </c>
      <c r="H354" s="1">
        <v>1</v>
      </c>
      <c r="I354" s="1">
        <v>3499</v>
      </c>
      <c r="J354" s="1">
        <v>3499</v>
      </c>
      <c r="K354" s="1" t="s">
        <v>17</v>
      </c>
    </row>
    <row r="355" spans="1:11">
      <c r="A355" s="1" t="s">
        <v>710</v>
      </c>
      <c r="B355" s="3">
        <v>46161</v>
      </c>
      <c r="C355" s="1" t="s">
        <v>467</v>
      </c>
      <c r="D355" s="1" t="s">
        <v>468</v>
      </c>
      <c r="E355" s="1" t="s">
        <v>217</v>
      </c>
      <c r="F355" s="1" t="s">
        <v>25</v>
      </c>
      <c r="G355" s="1" t="s">
        <v>26</v>
      </c>
      <c r="H355" s="1">
        <v>1</v>
      </c>
      <c r="I355" s="1">
        <v>1299</v>
      </c>
      <c r="J355" s="1">
        <v>1299</v>
      </c>
      <c r="K355" s="1" t="s">
        <v>222</v>
      </c>
    </row>
    <row r="356" spans="1:11">
      <c r="A356" s="1" t="s">
        <v>711</v>
      </c>
      <c r="B356" s="3">
        <v>46030</v>
      </c>
      <c r="C356" s="1" t="s">
        <v>467</v>
      </c>
      <c r="D356" s="1" t="s">
        <v>468</v>
      </c>
      <c r="E356" s="1" t="s">
        <v>217</v>
      </c>
      <c r="F356" s="1" t="s">
        <v>15</v>
      </c>
      <c r="G356" s="1" t="s">
        <v>162</v>
      </c>
      <c r="H356" s="1">
        <v>1</v>
      </c>
      <c r="I356" s="1">
        <v>1599</v>
      </c>
      <c r="J356" s="1">
        <v>1599</v>
      </c>
      <c r="K356" s="1" t="s">
        <v>17</v>
      </c>
    </row>
    <row r="357" spans="1:11">
      <c r="A357" s="1" t="s">
        <v>712</v>
      </c>
      <c r="B357" s="3">
        <v>46096</v>
      </c>
      <c r="C357" s="1" t="s">
        <v>713</v>
      </c>
      <c r="D357" s="1" t="s">
        <v>714</v>
      </c>
      <c r="E357" s="1" t="s">
        <v>217</v>
      </c>
      <c r="F357" s="1" t="s">
        <v>47</v>
      </c>
      <c r="G357" s="1" t="s">
        <v>48</v>
      </c>
      <c r="H357" s="1">
        <v>1</v>
      </c>
      <c r="I357" s="1">
        <v>499</v>
      </c>
      <c r="J357" s="1">
        <v>499</v>
      </c>
      <c r="K357" s="1" t="s">
        <v>17</v>
      </c>
    </row>
    <row r="358" spans="1:11">
      <c r="A358" s="1" t="s">
        <v>715</v>
      </c>
      <c r="B358" s="3">
        <v>46143</v>
      </c>
      <c r="C358" s="1" t="s">
        <v>499</v>
      </c>
      <c r="D358" s="1" t="s">
        <v>59</v>
      </c>
      <c r="E358" s="1" t="s">
        <v>21</v>
      </c>
      <c r="F358" s="1" t="s">
        <v>22</v>
      </c>
      <c r="G358" s="1" t="s">
        <v>138</v>
      </c>
      <c r="H358" s="1">
        <v>1</v>
      </c>
      <c r="I358" s="1">
        <v>599</v>
      </c>
      <c r="J358" s="1">
        <v>599</v>
      </c>
      <c r="K358" s="1" t="s">
        <v>17</v>
      </c>
    </row>
    <row r="359" spans="1:11">
      <c r="A359" s="1" t="s">
        <v>716</v>
      </c>
      <c r="B359" s="3">
        <v>46066</v>
      </c>
      <c r="C359" s="1" t="s">
        <v>577</v>
      </c>
      <c r="D359" s="1" t="s">
        <v>269</v>
      </c>
      <c r="E359" s="1" t="s">
        <v>513</v>
      </c>
      <c r="F359" s="1" t="s">
        <v>47</v>
      </c>
      <c r="G359" s="1" t="s">
        <v>100</v>
      </c>
      <c r="H359" s="1">
        <v>1</v>
      </c>
      <c r="I359" s="1">
        <v>2799</v>
      </c>
      <c r="J359" s="1">
        <v>2799</v>
      </c>
      <c r="K359" s="1" t="s">
        <v>17</v>
      </c>
    </row>
    <row r="360" spans="1:11">
      <c r="A360" s="1" t="s">
        <v>717</v>
      </c>
      <c r="B360" s="3">
        <v>46133</v>
      </c>
      <c r="C360" s="1" t="s">
        <v>497</v>
      </c>
      <c r="D360" s="1" t="s">
        <v>114</v>
      </c>
      <c r="E360" s="1" t="s">
        <v>104</v>
      </c>
      <c r="F360" s="1" t="s">
        <v>25</v>
      </c>
      <c r="G360" s="1" t="s">
        <v>115</v>
      </c>
      <c r="H360" s="1">
        <v>1</v>
      </c>
      <c r="I360" s="1">
        <v>3999</v>
      </c>
      <c r="J360" s="1">
        <v>3999</v>
      </c>
      <c r="K360" s="1" t="s">
        <v>17</v>
      </c>
    </row>
    <row r="361" spans="1:11">
      <c r="A361" s="1" t="s">
        <v>718</v>
      </c>
      <c r="B361" s="3">
        <v>46041</v>
      </c>
      <c r="C361" s="1" t="s">
        <v>288</v>
      </c>
      <c r="D361" s="1" t="s">
        <v>289</v>
      </c>
      <c r="E361" s="1" t="s">
        <v>14</v>
      </c>
      <c r="F361" s="1" t="s">
        <v>22</v>
      </c>
      <c r="G361" s="1" t="s">
        <v>196</v>
      </c>
      <c r="H361" s="1">
        <v>2</v>
      </c>
      <c r="I361" s="1">
        <v>2499</v>
      </c>
      <c r="J361" s="1">
        <v>4998</v>
      </c>
      <c r="K361" s="1" t="s">
        <v>17</v>
      </c>
    </row>
    <row r="362" spans="1:11">
      <c r="A362" s="1" t="s">
        <v>719</v>
      </c>
      <c r="B362" s="3">
        <v>46141</v>
      </c>
      <c r="C362" s="1" t="s">
        <v>400</v>
      </c>
      <c r="D362" s="1" t="s">
        <v>401</v>
      </c>
      <c r="E362" s="1" t="s">
        <v>21</v>
      </c>
      <c r="F362" s="1" t="s">
        <v>25</v>
      </c>
      <c r="G362" s="1" t="s">
        <v>31</v>
      </c>
      <c r="H362" s="1">
        <v>3</v>
      </c>
      <c r="I362" s="1">
        <v>1799</v>
      </c>
      <c r="J362" s="1">
        <v>5397</v>
      </c>
      <c r="K362" s="1" t="s">
        <v>17</v>
      </c>
    </row>
    <row r="363" spans="1:11">
      <c r="A363" s="1" t="s">
        <v>720</v>
      </c>
      <c r="B363" s="3">
        <v>46057</v>
      </c>
      <c r="C363" s="1" t="s">
        <v>158</v>
      </c>
      <c r="D363" s="1" t="s">
        <v>144</v>
      </c>
      <c r="E363" s="1" t="s">
        <v>104</v>
      </c>
      <c r="F363" s="1" t="s">
        <v>452</v>
      </c>
      <c r="G363" s="1" t="s">
        <v>141</v>
      </c>
      <c r="H363" s="1">
        <v>1</v>
      </c>
      <c r="I363" s="1">
        <v>999</v>
      </c>
      <c r="J363" s="1">
        <v>999</v>
      </c>
      <c r="K363" s="1" t="s">
        <v>220</v>
      </c>
    </row>
    <row r="364" spans="1:11">
      <c r="A364" s="1" t="s">
        <v>721</v>
      </c>
      <c r="B364" s="3">
        <v>46039</v>
      </c>
      <c r="C364" s="1" t="s">
        <v>318</v>
      </c>
      <c r="D364" s="1" t="s">
        <v>319</v>
      </c>
      <c r="E364" s="1" t="s">
        <v>21</v>
      </c>
      <c r="F364" s="1" t="s">
        <v>47</v>
      </c>
      <c r="G364" s="1" t="s">
        <v>128</v>
      </c>
      <c r="H364" s="1">
        <v>1</v>
      </c>
      <c r="I364" s="1">
        <v>1199</v>
      </c>
      <c r="J364" s="1">
        <v>1199</v>
      </c>
      <c r="K364" s="1" t="s">
        <v>17</v>
      </c>
    </row>
    <row r="365" spans="1:11">
      <c r="A365" s="1" t="s">
        <v>722</v>
      </c>
      <c r="B365" s="3">
        <v>46151</v>
      </c>
      <c r="C365" s="1" t="s">
        <v>291</v>
      </c>
      <c r="D365" s="1" t="s">
        <v>340</v>
      </c>
      <c r="E365" s="1" t="s">
        <v>14</v>
      </c>
      <c r="F365" s="1" t="s">
        <v>22</v>
      </c>
      <c r="G365" s="1" t="s">
        <v>23</v>
      </c>
      <c r="H365" s="1">
        <v>1</v>
      </c>
      <c r="I365" s="1">
        <v>3299</v>
      </c>
      <c r="J365" s="1">
        <v>3299</v>
      </c>
      <c r="K365" s="1" t="s">
        <v>17</v>
      </c>
    </row>
    <row r="366" spans="1:11">
      <c r="A366" s="1" t="s">
        <v>723</v>
      </c>
      <c r="B366" s="3">
        <v>46084</v>
      </c>
      <c r="C366" s="1" t="s">
        <v>660</v>
      </c>
      <c r="D366" s="1" t="s">
        <v>661</v>
      </c>
      <c r="E366" s="1" t="s">
        <v>21</v>
      </c>
      <c r="F366" s="1" t="s">
        <v>25</v>
      </c>
      <c r="G366" s="1" t="s">
        <v>115</v>
      </c>
      <c r="H366" s="1">
        <v>1</v>
      </c>
      <c r="I366" s="1">
        <v>3999</v>
      </c>
      <c r="J366" s="1">
        <v>3999</v>
      </c>
      <c r="K366" s="1" t="s">
        <v>17</v>
      </c>
    </row>
    <row r="367" spans="1:11">
      <c r="A367" s="1" t="s">
        <v>724</v>
      </c>
      <c r="B367" s="3">
        <v>46114</v>
      </c>
      <c r="C367" s="1" t="s">
        <v>369</v>
      </c>
      <c r="D367" s="1" t="s">
        <v>370</v>
      </c>
      <c r="E367" s="1" t="s">
        <v>89</v>
      </c>
      <c r="F367" s="1" t="s">
        <v>15</v>
      </c>
      <c r="G367" s="1" t="s">
        <v>16</v>
      </c>
      <c r="H367" s="1">
        <v>1</v>
      </c>
      <c r="I367" s="1">
        <v>1999</v>
      </c>
      <c r="J367" s="1">
        <v>1999</v>
      </c>
      <c r="K367" s="1" t="s">
        <v>17</v>
      </c>
    </row>
    <row r="368" spans="1:11">
      <c r="A368" s="1" t="s">
        <v>725</v>
      </c>
      <c r="B368" s="3">
        <v>46112</v>
      </c>
      <c r="C368" s="1" t="s">
        <v>557</v>
      </c>
      <c r="D368" s="1" t="s">
        <v>558</v>
      </c>
      <c r="E368" s="1" t="s">
        <v>30</v>
      </c>
      <c r="F368" s="1" t="s">
        <v>36</v>
      </c>
      <c r="G368" s="1" t="s">
        <v>141</v>
      </c>
      <c r="H368" s="1">
        <v>1</v>
      </c>
      <c r="I368" s="1">
        <v>999</v>
      </c>
      <c r="J368" s="1">
        <v>999</v>
      </c>
      <c r="K368" s="1" t="s">
        <v>17</v>
      </c>
    </row>
    <row r="369" spans="1:11">
      <c r="A369" s="1" t="s">
        <v>726</v>
      </c>
      <c r="B369" s="3">
        <v>46174</v>
      </c>
      <c r="C369" s="1" t="s">
        <v>486</v>
      </c>
      <c r="D369" s="1" t="s">
        <v>727</v>
      </c>
      <c r="E369" s="1" t="s">
        <v>64</v>
      </c>
      <c r="F369" s="1" t="s">
        <v>36</v>
      </c>
      <c r="G369" s="1" t="s">
        <v>141</v>
      </c>
      <c r="H369" s="1">
        <v>2</v>
      </c>
      <c r="I369" s="1">
        <v>999</v>
      </c>
      <c r="J369" s="1">
        <v>1998</v>
      </c>
      <c r="K369" s="1" t="s">
        <v>17</v>
      </c>
    </row>
    <row r="370" spans="1:11">
      <c r="A370" s="1" t="s">
        <v>728</v>
      </c>
      <c r="B370" s="3">
        <v>46080</v>
      </c>
      <c r="C370" s="1" t="s">
        <v>283</v>
      </c>
      <c r="D370" s="1" t="s">
        <v>227</v>
      </c>
      <c r="E370" s="1" t="s">
        <v>104</v>
      </c>
      <c r="F370" s="1" t="s">
        <v>25</v>
      </c>
      <c r="G370" s="1" t="s">
        <v>69</v>
      </c>
      <c r="H370" s="1">
        <v>1</v>
      </c>
      <c r="I370" s="1">
        <v>2199</v>
      </c>
      <c r="J370" s="1">
        <v>2199</v>
      </c>
      <c r="K370" s="1" t="s">
        <v>17</v>
      </c>
    </row>
    <row r="371" spans="1:11">
      <c r="A371" s="1" t="s">
        <v>729</v>
      </c>
      <c r="B371" s="3">
        <v>46042</v>
      </c>
      <c r="C371" s="1" t="s">
        <v>504</v>
      </c>
      <c r="D371" s="1" t="s">
        <v>505</v>
      </c>
      <c r="E371" s="1" t="s">
        <v>217</v>
      </c>
      <c r="F371" s="1" t="s">
        <v>15</v>
      </c>
      <c r="G371" s="1" t="s">
        <v>16</v>
      </c>
      <c r="H371" s="1">
        <v>1</v>
      </c>
      <c r="I371" s="1">
        <v>1999</v>
      </c>
      <c r="J371" s="1">
        <v>1999</v>
      </c>
      <c r="K371" s="1" t="s">
        <v>220</v>
      </c>
    </row>
    <row r="372" spans="1:11">
      <c r="A372" s="1" t="s">
        <v>730</v>
      </c>
      <c r="B372" s="3">
        <v>46186</v>
      </c>
      <c r="C372" s="1" t="s">
        <v>731</v>
      </c>
      <c r="D372" s="1" t="s">
        <v>401</v>
      </c>
      <c r="E372" s="1" t="s">
        <v>104</v>
      </c>
      <c r="F372" s="1" t="s">
        <v>47</v>
      </c>
      <c r="G372" s="1" t="s">
        <v>56</v>
      </c>
      <c r="H372" s="1">
        <v>1</v>
      </c>
      <c r="I372" s="1">
        <v>3499</v>
      </c>
      <c r="J372" s="1">
        <v>3499</v>
      </c>
      <c r="K372" s="1" t="s">
        <v>17</v>
      </c>
    </row>
    <row r="373" spans="1:11">
      <c r="A373" s="1" t="s">
        <v>732</v>
      </c>
      <c r="B373" s="3">
        <v>46042</v>
      </c>
      <c r="C373" s="1" t="s">
        <v>583</v>
      </c>
      <c r="D373" s="1" t="s">
        <v>131</v>
      </c>
      <c r="E373" s="1" t="s">
        <v>21</v>
      </c>
      <c r="F373" s="1" t="s">
        <v>15</v>
      </c>
      <c r="G373" s="1" t="s">
        <v>16</v>
      </c>
      <c r="H373" s="1">
        <v>1</v>
      </c>
      <c r="I373" s="1">
        <v>1999</v>
      </c>
      <c r="J373" s="1">
        <v>1999</v>
      </c>
      <c r="K373" s="1" t="s">
        <v>17</v>
      </c>
    </row>
    <row r="374" spans="1:11">
      <c r="A374" s="1" t="s">
        <v>733</v>
      </c>
      <c r="B374" s="3">
        <v>46097</v>
      </c>
      <c r="C374" s="1" t="s">
        <v>430</v>
      </c>
      <c r="D374" s="1" t="s">
        <v>431</v>
      </c>
      <c r="E374" s="1" t="s">
        <v>104</v>
      </c>
      <c r="F374" s="1" t="s">
        <v>25</v>
      </c>
      <c r="G374" s="1" t="s">
        <v>115</v>
      </c>
      <c r="H374" s="1">
        <v>1</v>
      </c>
      <c r="I374" s="1">
        <v>3999</v>
      </c>
      <c r="J374" s="1">
        <v>3999</v>
      </c>
      <c r="K374" s="1" t="s">
        <v>17</v>
      </c>
    </row>
    <row r="375" spans="1:11">
      <c r="A375" s="1" t="s">
        <v>734</v>
      </c>
      <c r="B375" s="3">
        <v>46182</v>
      </c>
      <c r="C375" s="1"/>
      <c r="D375" s="1" t="s">
        <v>431</v>
      </c>
      <c r="E375" s="1" t="s">
        <v>104</v>
      </c>
      <c r="F375" s="1" t="s">
        <v>36</v>
      </c>
      <c r="G375" s="1" t="s">
        <v>37</v>
      </c>
      <c r="H375" s="1">
        <v>2</v>
      </c>
      <c r="I375" s="1">
        <v>2299</v>
      </c>
      <c r="J375" s="1">
        <v>4598</v>
      </c>
      <c r="K375" s="1" t="s">
        <v>17</v>
      </c>
    </row>
    <row r="376" spans="1:11">
      <c r="A376" s="1" t="s">
        <v>735</v>
      </c>
      <c r="B376" s="3">
        <v>46033</v>
      </c>
      <c r="C376" s="1" t="s">
        <v>308</v>
      </c>
      <c r="D376" s="1" t="s">
        <v>736</v>
      </c>
      <c r="E376" s="1" t="s">
        <v>104</v>
      </c>
      <c r="F376" s="1" t="s">
        <v>36</v>
      </c>
      <c r="G376" s="1" t="s">
        <v>151</v>
      </c>
      <c r="H376" s="1">
        <v>2</v>
      </c>
      <c r="I376" s="1">
        <v>799</v>
      </c>
      <c r="J376" s="1">
        <v>1598</v>
      </c>
      <c r="K376" s="1" t="s">
        <v>38</v>
      </c>
    </row>
    <row r="377" spans="1:11">
      <c r="A377" s="1" t="s">
        <v>737</v>
      </c>
      <c r="B377" s="3">
        <v>46185</v>
      </c>
      <c r="C377" s="1" t="s">
        <v>164</v>
      </c>
      <c r="D377" s="1" t="s">
        <v>165</v>
      </c>
      <c r="E377" s="1" t="s">
        <v>104</v>
      </c>
      <c r="F377" s="1" t="s">
        <v>22</v>
      </c>
      <c r="G377" s="1" t="s">
        <v>23</v>
      </c>
      <c r="H377" s="1">
        <v>3</v>
      </c>
      <c r="I377" s="1">
        <v>3299</v>
      </c>
      <c r="J377" s="1">
        <v>9897</v>
      </c>
      <c r="K377" s="1" t="s">
        <v>38</v>
      </c>
    </row>
    <row r="378" spans="1:11">
      <c r="A378" s="1" t="s">
        <v>738</v>
      </c>
      <c r="B378" s="3">
        <v>46135</v>
      </c>
      <c r="C378" s="1" t="s">
        <v>655</v>
      </c>
      <c r="D378" s="1" t="s">
        <v>325</v>
      </c>
      <c r="E378" s="1" t="s">
        <v>708</v>
      </c>
      <c r="F378" s="1" t="s">
        <v>15</v>
      </c>
      <c r="G378" s="1" t="s">
        <v>162</v>
      </c>
      <c r="H378" s="1">
        <v>1</v>
      </c>
      <c r="I378" s="1">
        <v>1599</v>
      </c>
      <c r="J378" s="1">
        <v>1599</v>
      </c>
      <c r="K378" s="1" t="s">
        <v>17</v>
      </c>
    </row>
    <row r="379" spans="1:11">
      <c r="A379" s="1" t="s">
        <v>739</v>
      </c>
      <c r="B379" s="3">
        <v>46081</v>
      </c>
      <c r="C379" s="1" t="s">
        <v>372</v>
      </c>
      <c r="D379" s="1" t="s">
        <v>331</v>
      </c>
      <c r="E379" s="1" t="s">
        <v>21</v>
      </c>
      <c r="F379" s="1" t="s">
        <v>47</v>
      </c>
      <c r="G379" s="1" t="s">
        <v>128</v>
      </c>
      <c r="H379" s="1">
        <v>1</v>
      </c>
      <c r="I379" s="1">
        <v>1199</v>
      </c>
      <c r="J379" s="1">
        <v>1199</v>
      </c>
      <c r="K379" s="1" t="s">
        <v>17</v>
      </c>
    </row>
    <row r="380" spans="1:11">
      <c r="A380" s="1" t="s">
        <v>740</v>
      </c>
      <c r="B380" s="3">
        <v>46150</v>
      </c>
      <c r="C380" s="1" t="s">
        <v>80</v>
      </c>
      <c r="D380" s="1" t="s">
        <v>81</v>
      </c>
      <c r="E380" s="1" t="s">
        <v>30</v>
      </c>
      <c r="F380" s="1" t="s">
        <v>328</v>
      </c>
      <c r="G380" s="1" t="s">
        <v>16</v>
      </c>
      <c r="H380" s="1">
        <v>3</v>
      </c>
      <c r="I380" s="1">
        <v>1999</v>
      </c>
      <c r="J380" s="1">
        <v>5997</v>
      </c>
      <c r="K380" s="1" t="s">
        <v>17</v>
      </c>
    </row>
    <row r="381" spans="1:11">
      <c r="A381" s="1" t="s">
        <v>741</v>
      </c>
      <c r="B381" s="3">
        <v>46054</v>
      </c>
      <c r="C381" s="1" t="s">
        <v>585</v>
      </c>
      <c r="D381" s="1" t="s">
        <v>313</v>
      </c>
      <c r="E381" s="1" t="s">
        <v>30</v>
      </c>
      <c r="F381" s="1" t="s">
        <v>36</v>
      </c>
      <c r="G381" s="1" t="s">
        <v>151</v>
      </c>
      <c r="H381" s="1">
        <v>2</v>
      </c>
      <c r="I381" s="1">
        <v>799</v>
      </c>
      <c r="J381" s="1">
        <v>1598</v>
      </c>
      <c r="K381" s="1" t="s">
        <v>17</v>
      </c>
    </row>
    <row r="382" spans="1:11">
      <c r="A382" s="1" t="s">
        <v>742</v>
      </c>
      <c r="B382" s="3">
        <v>46129</v>
      </c>
      <c r="C382" s="1" t="s">
        <v>216</v>
      </c>
      <c r="D382" s="1" t="s">
        <v>202</v>
      </c>
      <c r="E382" s="1" t="s">
        <v>217</v>
      </c>
      <c r="F382" s="1" t="s">
        <v>15</v>
      </c>
      <c r="G382" s="1" t="s">
        <v>16</v>
      </c>
      <c r="H382" s="1">
        <v>1</v>
      </c>
      <c r="I382" s="1">
        <v>1999</v>
      </c>
      <c r="J382" s="1">
        <v>1999</v>
      </c>
      <c r="K382" s="1" t="s">
        <v>17</v>
      </c>
    </row>
    <row r="383" spans="1:11">
      <c r="A383" s="1" t="s">
        <v>743</v>
      </c>
      <c r="B383" s="3">
        <v>46108</v>
      </c>
      <c r="C383" s="1" t="s">
        <v>380</v>
      </c>
      <c r="D383" s="1" t="s">
        <v>202</v>
      </c>
      <c r="E383" s="1" t="s">
        <v>14</v>
      </c>
      <c r="F383" s="1" t="s">
        <v>47</v>
      </c>
      <c r="G383" s="1" t="s">
        <v>56</v>
      </c>
      <c r="H383" s="1">
        <v>3</v>
      </c>
      <c r="I383" s="1">
        <v>3499</v>
      </c>
      <c r="J383" s="1">
        <v>10497</v>
      </c>
      <c r="K383" s="1" t="s">
        <v>17</v>
      </c>
    </row>
    <row r="384" spans="1:11">
      <c r="A384" s="1" t="s">
        <v>744</v>
      </c>
      <c r="B384" s="3">
        <v>46155</v>
      </c>
      <c r="C384" s="1" t="s">
        <v>375</v>
      </c>
      <c r="D384" s="1" t="s">
        <v>376</v>
      </c>
      <c r="E384" s="1" t="s">
        <v>89</v>
      </c>
      <c r="F384" s="1" t="s">
        <v>22</v>
      </c>
      <c r="G384" s="1" t="s">
        <v>23</v>
      </c>
      <c r="H384" s="1">
        <v>1</v>
      </c>
      <c r="I384" s="1">
        <v>3299</v>
      </c>
      <c r="J384" s="1">
        <v>3299</v>
      </c>
      <c r="K384" s="1" t="s">
        <v>222</v>
      </c>
    </row>
    <row r="385" spans="1:11">
      <c r="A385" s="1" t="s">
        <v>745</v>
      </c>
      <c r="B385" s="3">
        <v>46183</v>
      </c>
      <c r="C385" s="1" t="s">
        <v>391</v>
      </c>
      <c r="D385" s="1" t="s">
        <v>392</v>
      </c>
      <c r="E385" s="1" t="s">
        <v>336</v>
      </c>
      <c r="F385" s="1" t="s">
        <v>22</v>
      </c>
      <c r="G385" s="1" t="s">
        <v>43</v>
      </c>
      <c r="H385" s="1">
        <v>3</v>
      </c>
      <c r="I385" s="1">
        <v>1499</v>
      </c>
      <c r="J385" s="1">
        <v>4497</v>
      </c>
      <c r="K385" s="1" t="s">
        <v>17</v>
      </c>
    </row>
    <row r="386" spans="1:11">
      <c r="A386" s="1" t="s">
        <v>746</v>
      </c>
      <c r="B386" s="3">
        <v>46197</v>
      </c>
      <c r="C386" s="1" t="s">
        <v>19</v>
      </c>
      <c r="D386" s="1" t="s">
        <v>20</v>
      </c>
      <c r="E386" s="1" t="s">
        <v>21</v>
      </c>
      <c r="F386" s="1" t="s">
        <v>36</v>
      </c>
      <c r="G386" s="1" t="s">
        <v>37</v>
      </c>
      <c r="H386" s="1">
        <v>1</v>
      </c>
      <c r="I386" s="1">
        <v>2299</v>
      </c>
      <c r="J386" s="1">
        <v>2299</v>
      </c>
      <c r="K386" s="1" t="s">
        <v>17</v>
      </c>
    </row>
    <row r="387" spans="1:11">
      <c r="A387" s="1" t="s">
        <v>747</v>
      </c>
      <c r="B387" s="3">
        <v>46173</v>
      </c>
      <c r="C387" s="1" t="s">
        <v>232</v>
      </c>
      <c r="D387" s="1" t="s">
        <v>107</v>
      </c>
      <c r="E387" s="1" t="s">
        <v>73</v>
      </c>
      <c r="F387" s="1" t="s">
        <v>47</v>
      </c>
      <c r="G387" s="1" t="s">
        <v>100</v>
      </c>
      <c r="H387" s="1">
        <v>1</v>
      </c>
      <c r="I387" s="1">
        <v>2799</v>
      </c>
      <c r="J387" s="1">
        <v>2799</v>
      </c>
      <c r="K387" s="1" t="s">
        <v>38</v>
      </c>
    </row>
    <row r="388" spans="1:11">
      <c r="A388" s="1" t="s">
        <v>748</v>
      </c>
      <c r="B388" s="3">
        <v>46129</v>
      </c>
      <c r="C388" s="1" t="s">
        <v>155</v>
      </c>
      <c r="D388" s="1" t="s">
        <v>156</v>
      </c>
      <c r="E388" s="1" t="s">
        <v>89</v>
      </c>
      <c r="F388" s="1" t="s">
        <v>15</v>
      </c>
      <c r="G388" s="1" t="s">
        <v>52</v>
      </c>
      <c r="H388" s="1">
        <v>1</v>
      </c>
      <c r="I388" s="1">
        <v>899</v>
      </c>
      <c r="J388" s="1">
        <v>899</v>
      </c>
      <c r="K388" s="1" t="s">
        <v>17</v>
      </c>
    </row>
    <row r="389" spans="1:11">
      <c r="A389" s="1" t="s">
        <v>749</v>
      </c>
      <c r="B389" s="3">
        <v>46122</v>
      </c>
      <c r="C389" s="1" t="s">
        <v>499</v>
      </c>
      <c r="D389" s="1" t="s">
        <v>59</v>
      </c>
      <c r="E389" s="1" t="s">
        <v>21</v>
      </c>
      <c r="F389" s="1" t="s">
        <v>36</v>
      </c>
      <c r="G389" s="1" t="s">
        <v>141</v>
      </c>
      <c r="H389" s="1">
        <v>1</v>
      </c>
      <c r="I389" s="1">
        <v>999</v>
      </c>
      <c r="J389" s="1">
        <v>999</v>
      </c>
      <c r="K389" s="1" t="s">
        <v>17</v>
      </c>
    </row>
    <row r="390" spans="1:11">
      <c r="A390" s="1" t="s">
        <v>750</v>
      </c>
      <c r="B390" s="3">
        <v>46093</v>
      </c>
      <c r="C390" s="1"/>
      <c r="D390" s="1" t="s">
        <v>593</v>
      </c>
      <c r="E390" s="1" t="s">
        <v>73</v>
      </c>
      <c r="F390" s="1" t="s">
        <v>25</v>
      </c>
      <c r="G390" s="1" t="s">
        <v>115</v>
      </c>
      <c r="H390" s="1">
        <v>2</v>
      </c>
      <c r="I390" s="1">
        <v>3999</v>
      </c>
      <c r="J390" s="1">
        <v>7998</v>
      </c>
      <c r="K390" s="1" t="s">
        <v>222</v>
      </c>
    </row>
    <row r="391" spans="1:11">
      <c r="A391" s="1" t="s">
        <v>751</v>
      </c>
      <c r="B391" s="3">
        <v>46131</v>
      </c>
      <c r="C391" s="1" t="s">
        <v>58</v>
      </c>
      <c r="D391" s="1" t="s">
        <v>59</v>
      </c>
      <c r="E391" s="1" t="s">
        <v>14</v>
      </c>
      <c r="F391" s="1" t="s">
        <v>36</v>
      </c>
      <c r="G391" s="1" t="s">
        <v>37</v>
      </c>
      <c r="H391" s="1">
        <v>1</v>
      </c>
      <c r="I391" s="1">
        <v>2299</v>
      </c>
      <c r="J391" s="1">
        <v>2299</v>
      </c>
      <c r="K391" s="1" t="s">
        <v>17</v>
      </c>
    </row>
    <row r="392" spans="1:11">
      <c r="A392" s="1" t="s">
        <v>752</v>
      </c>
      <c r="B392" s="3">
        <v>46185</v>
      </c>
      <c r="C392" s="1" t="s">
        <v>324</v>
      </c>
      <c r="D392" s="1" t="s">
        <v>325</v>
      </c>
      <c r="E392" s="1" t="s">
        <v>30</v>
      </c>
      <c r="F392" s="1" t="s">
        <v>47</v>
      </c>
      <c r="G392" s="1" t="s">
        <v>100</v>
      </c>
      <c r="H392" s="1">
        <v>1</v>
      </c>
      <c r="I392" s="1">
        <v>2799</v>
      </c>
      <c r="J392" s="1">
        <v>2799</v>
      </c>
      <c r="K392" s="1" t="s">
        <v>17</v>
      </c>
    </row>
    <row r="393" spans="1:11">
      <c r="A393" s="1" t="s">
        <v>753</v>
      </c>
      <c r="B393" s="3">
        <v>46146</v>
      </c>
      <c r="C393" s="1" t="s">
        <v>391</v>
      </c>
      <c r="D393" s="1" t="s">
        <v>392</v>
      </c>
      <c r="E393" s="1" t="s">
        <v>754</v>
      </c>
      <c r="F393" s="1" t="s">
        <v>127</v>
      </c>
      <c r="G393" s="1" t="s">
        <v>100</v>
      </c>
      <c r="H393" s="1">
        <v>3</v>
      </c>
      <c r="I393" s="1">
        <v>2799</v>
      </c>
      <c r="J393" s="1">
        <v>8397</v>
      </c>
      <c r="K393" s="1" t="s">
        <v>120</v>
      </c>
    </row>
    <row r="394" spans="1:11">
      <c r="A394" s="1" t="s">
        <v>755</v>
      </c>
      <c r="B394" s="3">
        <v>46181</v>
      </c>
      <c r="C394" s="1" t="s">
        <v>45</v>
      </c>
      <c r="D394" s="1" t="s">
        <v>46</v>
      </c>
      <c r="E394" s="1" t="s">
        <v>14</v>
      </c>
      <c r="F394" s="1" t="s">
        <v>22</v>
      </c>
      <c r="G394" s="1" t="s">
        <v>138</v>
      </c>
      <c r="H394" s="1">
        <v>1</v>
      </c>
      <c r="I394" s="1">
        <v>599</v>
      </c>
      <c r="J394" s="1">
        <v>599</v>
      </c>
      <c r="K394" s="1" t="s">
        <v>17</v>
      </c>
    </row>
    <row r="395" spans="1:11">
      <c r="A395" s="1" t="s">
        <v>756</v>
      </c>
      <c r="B395" s="3">
        <v>46080</v>
      </c>
      <c r="C395" s="1" t="s">
        <v>304</v>
      </c>
      <c r="D395" s="1" t="s">
        <v>305</v>
      </c>
      <c r="E395" s="1" t="s">
        <v>21</v>
      </c>
      <c r="F395" s="1" t="s">
        <v>224</v>
      </c>
      <c r="G395" s="1" t="s">
        <v>115</v>
      </c>
      <c r="H395" s="1">
        <v>1</v>
      </c>
      <c r="I395" s="1">
        <v>3999</v>
      </c>
      <c r="J395" s="1">
        <v>3999</v>
      </c>
      <c r="K395" s="1" t="s">
        <v>17</v>
      </c>
    </row>
    <row r="396" spans="1:11">
      <c r="A396" s="1" t="s">
        <v>757</v>
      </c>
      <c r="B396" s="3">
        <v>46172</v>
      </c>
      <c r="C396" s="1" t="s">
        <v>87</v>
      </c>
      <c r="D396" s="1" t="s">
        <v>88</v>
      </c>
      <c r="E396" s="1" t="s">
        <v>89</v>
      </c>
      <c r="F396" s="1" t="s">
        <v>25</v>
      </c>
      <c r="G396" s="1" t="s">
        <v>31</v>
      </c>
      <c r="H396" s="1">
        <v>1</v>
      </c>
      <c r="I396" s="1">
        <v>1799</v>
      </c>
      <c r="J396" s="1">
        <v>1799</v>
      </c>
      <c r="K396" s="1" t="s">
        <v>17</v>
      </c>
    </row>
    <row r="397" spans="1:11">
      <c r="A397" s="1" t="s">
        <v>758</v>
      </c>
      <c r="B397" s="3">
        <v>46187</v>
      </c>
      <c r="C397" s="1" t="s">
        <v>635</v>
      </c>
      <c r="D397" s="1" t="s">
        <v>51</v>
      </c>
      <c r="E397" s="1" t="s">
        <v>30</v>
      </c>
      <c r="F397" s="1" t="s">
        <v>15</v>
      </c>
      <c r="G397" s="1" t="s">
        <v>162</v>
      </c>
      <c r="H397" s="1">
        <v>1</v>
      </c>
      <c r="I397" s="1">
        <v>1599</v>
      </c>
      <c r="J397" s="1">
        <v>1599</v>
      </c>
      <c r="K397" s="1" t="s">
        <v>17</v>
      </c>
    </row>
    <row r="398" spans="1:11">
      <c r="A398" s="1" t="s">
        <v>759</v>
      </c>
      <c r="B398" s="3">
        <v>46138</v>
      </c>
      <c r="C398" s="1" t="s">
        <v>490</v>
      </c>
      <c r="D398" s="1" t="s">
        <v>491</v>
      </c>
      <c r="E398" s="1" t="s">
        <v>217</v>
      </c>
      <c r="F398" s="1" t="s">
        <v>47</v>
      </c>
      <c r="G398" s="1" t="s">
        <v>56</v>
      </c>
      <c r="H398" s="1">
        <v>1</v>
      </c>
      <c r="I398" s="1">
        <v>3499</v>
      </c>
      <c r="J398" s="1">
        <v>3499</v>
      </c>
      <c r="K398" s="1" t="s">
        <v>17</v>
      </c>
    </row>
    <row r="399" spans="1:11">
      <c r="A399" s="1" t="s">
        <v>760</v>
      </c>
      <c r="B399" s="3">
        <v>46067</v>
      </c>
      <c r="C399" s="1" t="s">
        <v>761</v>
      </c>
      <c r="D399" s="1" t="s">
        <v>762</v>
      </c>
      <c r="E399" s="1" t="s">
        <v>30</v>
      </c>
      <c r="F399" s="1" t="s">
        <v>36</v>
      </c>
      <c r="G399" s="1" t="s">
        <v>141</v>
      </c>
      <c r="H399" s="1">
        <v>2</v>
      </c>
      <c r="I399" s="1">
        <v>999</v>
      </c>
      <c r="J399" s="1">
        <v>1998</v>
      </c>
      <c r="K399" s="1" t="s">
        <v>17</v>
      </c>
    </row>
    <row r="400" spans="1:11">
      <c r="A400" s="1" t="s">
        <v>763</v>
      </c>
      <c r="B400" s="3">
        <v>46075</v>
      </c>
      <c r="C400" s="1" t="s">
        <v>764</v>
      </c>
      <c r="D400" s="1" t="s">
        <v>180</v>
      </c>
      <c r="E400" s="1" t="s">
        <v>89</v>
      </c>
      <c r="F400" s="1" t="s">
        <v>15</v>
      </c>
      <c r="G400" s="1" t="s">
        <v>16</v>
      </c>
      <c r="H400" s="1">
        <v>1</v>
      </c>
      <c r="I400" s="1">
        <v>1999</v>
      </c>
      <c r="J400" s="1">
        <v>1999</v>
      </c>
      <c r="K400" s="1" t="s">
        <v>222</v>
      </c>
    </row>
    <row r="401" spans="1:11">
      <c r="A401" s="1" t="s">
        <v>765</v>
      </c>
      <c r="B401" s="3">
        <v>46170</v>
      </c>
      <c r="C401" s="1" t="s">
        <v>33</v>
      </c>
      <c r="D401" s="1" t="s">
        <v>34</v>
      </c>
      <c r="E401" s="1" t="s">
        <v>14</v>
      </c>
      <c r="F401" s="1" t="s">
        <v>36</v>
      </c>
      <c r="G401" s="1" t="s">
        <v>141</v>
      </c>
      <c r="H401" s="1">
        <v>1</v>
      </c>
      <c r="I401" s="1">
        <v>999</v>
      </c>
      <c r="J401" s="1">
        <v>999</v>
      </c>
      <c r="K401" s="1" t="s">
        <v>17</v>
      </c>
    </row>
    <row r="402" spans="1:11">
      <c r="A402" s="1" t="s">
        <v>766</v>
      </c>
      <c r="B402" s="3">
        <v>46040</v>
      </c>
      <c r="C402" s="1" t="s">
        <v>450</v>
      </c>
      <c r="D402" s="1" t="s">
        <v>451</v>
      </c>
      <c r="E402" s="1" t="s">
        <v>214</v>
      </c>
      <c r="F402" s="1" t="s">
        <v>36</v>
      </c>
      <c r="G402" s="1" t="s">
        <v>151</v>
      </c>
      <c r="H402" s="1">
        <v>1</v>
      </c>
      <c r="I402" s="1">
        <v>799</v>
      </c>
      <c r="J402" s="1">
        <v>799</v>
      </c>
      <c r="K402" s="1" t="s">
        <v>17</v>
      </c>
    </row>
    <row r="403" spans="1:11">
      <c r="A403" s="1" t="s">
        <v>767</v>
      </c>
      <c r="B403" s="3">
        <v>46041</v>
      </c>
      <c r="C403" s="1" t="s">
        <v>422</v>
      </c>
      <c r="D403" s="1" t="s">
        <v>173</v>
      </c>
      <c r="E403" s="1" t="s">
        <v>217</v>
      </c>
      <c r="F403" s="1" t="s">
        <v>47</v>
      </c>
      <c r="G403" s="1" t="s">
        <v>56</v>
      </c>
      <c r="H403" s="1">
        <v>1</v>
      </c>
      <c r="I403" s="1">
        <v>3499</v>
      </c>
      <c r="J403" s="1">
        <v>3499</v>
      </c>
      <c r="K403" s="1" t="s">
        <v>220</v>
      </c>
    </row>
    <row r="404" spans="1:11">
      <c r="A404" s="1" t="s">
        <v>768</v>
      </c>
      <c r="B404" s="3">
        <v>46045</v>
      </c>
      <c r="C404" s="1" t="s">
        <v>544</v>
      </c>
      <c r="D404" s="1" t="s">
        <v>545</v>
      </c>
      <c r="E404" s="1" t="s">
        <v>14</v>
      </c>
      <c r="F404" s="1" t="s">
        <v>15</v>
      </c>
      <c r="G404" s="1" t="s">
        <v>162</v>
      </c>
      <c r="H404" s="1">
        <v>2</v>
      </c>
      <c r="I404" s="1">
        <v>1599</v>
      </c>
      <c r="J404" s="1">
        <v>3198</v>
      </c>
      <c r="K404" s="1" t="s">
        <v>17</v>
      </c>
    </row>
    <row r="405" spans="1:11">
      <c r="A405" s="1" t="s">
        <v>769</v>
      </c>
      <c r="B405" s="3">
        <v>46094</v>
      </c>
      <c r="C405" s="1" t="s">
        <v>499</v>
      </c>
      <c r="D405" s="1" t="s">
        <v>59</v>
      </c>
      <c r="E405" s="1" t="s">
        <v>21</v>
      </c>
      <c r="F405" s="1" t="s">
        <v>36</v>
      </c>
      <c r="G405" s="1" t="s">
        <v>151</v>
      </c>
      <c r="H405" s="1">
        <v>1</v>
      </c>
      <c r="I405" s="1">
        <v>799</v>
      </c>
      <c r="J405" s="1">
        <v>799</v>
      </c>
      <c r="K405" s="1" t="s">
        <v>17</v>
      </c>
    </row>
    <row r="406" spans="1:11">
      <c r="A406" s="1" t="s">
        <v>770</v>
      </c>
      <c r="B406" s="3">
        <v>46166</v>
      </c>
      <c r="C406" s="1" t="s">
        <v>106</v>
      </c>
      <c r="D406" s="1" t="s">
        <v>107</v>
      </c>
      <c r="E406" s="1" t="s">
        <v>21</v>
      </c>
      <c r="F406" s="1" t="s">
        <v>413</v>
      </c>
      <c r="G406" s="1" t="s">
        <v>69</v>
      </c>
      <c r="H406" s="1">
        <v>1</v>
      </c>
      <c r="I406" s="1">
        <v>2199</v>
      </c>
      <c r="J406" s="1">
        <v>2199</v>
      </c>
      <c r="K406" s="1" t="s">
        <v>17</v>
      </c>
    </row>
    <row r="407" spans="1:11">
      <c r="A407" s="1" t="s">
        <v>771</v>
      </c>
      <c r="B407" s="3">
        <v>46159</v>
      </c>
      <c r="C407" s="1" t="s">
        <v>149</v>
      </c>
      <c r="D407" s="1" t="s">
        <v>150</v>
      </c>
      <c r="E407" s="1"/>
      <c r="F407" s="1" t="s">
        <v>25</v>
      </c>
      <c r="G407" s="1" t="s">
        <v>26</v>
      </c>
      <c r="H407" s="1">
        <v>1</v>
      </c>
      <c r="I407" s="1">
        <v>1299</v>
      </c>
      <c r="J407" s="1">
        <v>1299</v>
      </c>
      <c r="K407" s="1" t="s">
        <v>17</v>
      </c>
    </row>
    <row r="408" spans="1:11">
      <c r="A408" s="1" t="s">
        <v>772</v>
      </c>
      <c r="B408" s="3">
        <v>46029</v>
      </c>
      <c r="C408" s="1" t="s">
        <v>557</v>
      </c>
      <c r="D408" s="1" t="s">
        <v>558</v>
      </c>
      <c r="E408" s="1" t="s">
        <v>30</v>
      </c>
      <c r="F408" s="1" t="s">
        <v>25</v>
      </c>
      <c r="G408" s="1" t="s">
        <v>26</v>
      </c>
      <c r="H408" s="1">
        <v>1</v>
      </c>
      <c r="I408" s="1">
        <v>1299</v>
      </c>
      <c r="J408" s="1">
        <v>1299</v>
      </c>
      <c r="K408" s="1" t="s">
        <v>17</v>
      </c>
    </row>
    <row r="409" spans="1:11">
      <c r="A409" s="1" t="s">
        <v>773</v>
      </c>
      <c r="B409" s="3">
        <v>46134</v>
      </c>
      <c r="C409" s="1" t="s">
        <v>308</v>
      </c>
      <c r="D409" s="1" t="s">
        <v>309</v>
      </c>
      <c r="E409" s="1" t="s">
        <v>104</v>
      </c>
      <c r="F409" s="1" t="s">
        <v>47</v>
      </c>
      <c r="G409" s="1" t="s">
        <v>56</v>
      </c>
      <c r="H409" s="1">
        <v>2</v>
      </c>
      <c r="I409" s="1">
        <v>3499</v>
      </c>
      <c r="J409" s="1">
        <v>6998</v>
      </c>
      <c r="K409" s="1" t="s">
        <v>17</v>
      </c>
    </row>
    <row r="410" spans="1:11">
      <c r="A410" s="1" t="s">
        <v>774</v>
      </c>
      <c r="B410" s="3">
        <v>46063</v>
      </c>
      <c r="C410" s="1" t="s">
        <v>380</v>
      </c>
      <c r="D410" s="1" t="s">
        <v>202</v>
      </c>
      <c r="E410" s="1" t="s">
        <v>14</v>
      </c>
      <c r="F410" s="1" t="s">
        <v>15</v>
      </c>
      <c r="G410" s="1" t="s">
        <v>16</v>
      </c>
      <c r="H410" s="1">
        <v>1</v>
      </c>
      <c r="I410" s="1">
        <v>1999</v>
      </c>
      <c r="J410" s="1">
        <v>1999</v>
      </c>
      <c r="K410" s="1" t="s">
        <v>222</v>
      </c>
    </row>
    <row r="411" spans="1:11">
      <c r="A411" s="1" t="s">
        <v>428</v>
      </c>
      <c r="B411" s="3">
        <v>46149</v>
      </c>
      <c r="C411" s="1" t="s">
        <v>179</v>
      </c>
      <c r="D411" s="1" t="s">
        <v>180</v>
      </c>
      <c r="E411" s="1" t="s">
        <v>104</v>
      </c>
      <c r="F411" s="1" t="s">
        <v>36</v>
      </c>
      <c r="G411" s="1" t="s">
        <v>141</v>
      </c>
      <c r="H411" s="1">
        <v>2</v>
      </c>
      <c r="I411" s="1">
        <v>999</v>
      </c>
      <c r="J411" s="1">
        <v>1998</v>
      </c>
      <c r="K411" s="1" t="s">
        <v>17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9"/>
  <sheetViews>
    <sheetView workbookViewId="0">
      <pane ySplit="1" topLeftCell="A360" activePane="bottomLeft" state="frozen"/>
      <selection pane="bottomLeft" activeCell="C374" sqref="C374"/>
    </sheetView>
  </sheetViews>
  <sheetFormatPr defaultRowHeight="15"/>
  <cols>
    <col min="1" max="2" width="14" customWidth="1"/>
    <col min="3" max="3" width="21" customWidth="1"/>
    <col min="4" max="4" width="17.140625" customWidth="1"/>
    <col min="5" max="5" width="15.28515625" customWidth="1"/>
    <col min="6" max="6" width="17.7109375" customWidth="1"/>
  </cols>
  <sheetData>
    <row r="1" spans="1:6">
      <c r="A1" s="2" t="s">
        <v>775</v>
      </c>
      <c r="B1" s="2" t="s">
        <v>0</v>
      </c>
      <c r="C1" s="2" t="s">
        <v>776</v>
      </c>
      <c r="D1" s="2" t="s">
        <v>777</v>
      </c>
      <c r="E1" s="2" t="s">
        <v>778</v>
      </c>
      <c r="F1" s="2" t="s">
        <v>779</v>
      </c>
    </row>
    <row r="2" spans="1:6">
      <c r="A2" s="1" t="s">
        <v>780</v>
      </c>
      <c r="B2" s="1" t="s">
        <v>532</v>
      </c>
      <c r="C2" s="3">
        <v>46057</v>
      </c>
      <c r="D2" s="1" t="s">
        <v>781</v>
      </c>
      <c r="E2" s="1">
        <v>1599</v>
      </c>
      <c r="F2" s="1" t="s">
        <v>782</v>
      </c>
    </row>
    <row r="3" spans="1:6">
      <c r="A3" s="1" t="s">
        <v>783</v>
      </c>
      <c r="B3" s="1" t="s">
        <v>61</v>
      </c>
      <c r="C3" s="3">
        <v>46186</v>
      </c>
      <c r="D3" s="1" t="s">
        <v>784</v>
      </c>
      <c r="E3" s="1">
        <v>3998</v>
      </c>
      <c r="F3" s="1" t="s">
        <v>782</v>
      </c>
    </row>
    <row r="4" spans="1:6">
      <c r="A4" s="1" t="s">
        <v>785</v>
      </c>
      <c r="B4" s="1" t="s">
        <v>221</v>
      </c>
      <c r="C4" s="3">
        <v>46151</v>
      </c>
      <c r="D4" s="1" t="s">
        <v>786</v>
      </c>
      <c r="E4" s="1">
        <v>999</v>
      </c>
      <c r="F4" s="1" t="s">
        <v>782</v>
      </c>
    </row>
    <row r="5" spans="1:6">
      <c r="A5" s="1" t="s">
        <v>787</v>
      </c>
      <c r="B5" s="1" t="s">
        <v>629</v>
      </c>
      <c r="C5" s="3">
        <v>46107</v>
      </c>
      <c r="D5" s="1" t="s">
        <v>788</v>
      </c>
      <c r="E5" s="1">
        <v>899</v>
      </c>
      <c r="F5" s="1" t="s">
        <v>782</v>
      </c>
    </row>
    <row r="6" spans="1:6">
      <c r="A6" s="1" t="s">
        <v>789</v>
      </c>
      <c r="B6" s="1" t="s">
        <v>601</v>
      </c>
      <c r="C6" s="3">
        <v>46154</v>
      </c>
      <c r="D6" s="1" t="s">
        <v>790</v>
      </c>
      <c r="E6" s="1">
        <v>1999</v>
      </c>
      <c r="F6" s="1" t="s">
        <v>782</v>
      </c>
    </row>
    <row r="7" spans="1:6">
      <c r="A7" s="1" t="s">
        <v>791</v>
      </c>
      <c r="B7" s="1" t="s">
        <v>642</v>
      </c>
      <c r="C7" s="3">
        <v>46194</v>
      </c>
      <c r="D7" s="1" t="s">
        <v>790</v>
      </c>
      <c r="E7" s="1">
        <v>2199</v>
      </c>
      <c r="F7" s="1" t="s">
        <v>792</v>
      </c>
    </row>
    <row r="8" spans="1:6">
      <c r="A8" s="1" t="s">
        <v>793</v>
      </c>
      <c r="B8" s="1" t="s">
        <v>385</v>
      </c>
      <c r="C8" s="3">
        <v>46121</v>
      </c>
      <c r="D8" s="1" t="s">
        <v>788</v>
      </c>
      <c r="E8" s="1">
        <v>1599</v>
      </c>
      <c r="F8" s="1" t="s">
        <v>782</v>
      </c>
    </row>
    <row r="9" spans="1:6">
      <c r="A9" s="1" t="s">
        <v>794</v>
      </c>
      <c r="B9" s="1" t="s">
        <v>53</v>
      </c>
      <c r="C9" s="3">
        <v>46142</v>
      </c>
      <c r="D9" s="1" t="s">
        <v>784</v>
      </c>
      <c r="E9" s="1">
        <v>3499</v>
      </c>
      <c r="F9" s="1" t="s">
        <v>782</v>
      </c>
    </row>
    <row r="10" spans="1:6">
      <c r="A10" s="1" t="s">
        <v>795</v>
      </c>
      <c r="B10" s="1" t="s">
        <v>677</v>
      </c>
      <c r="C10" s="3">
        <v>46179</v>
      </c>
      <c r="D10" s="1" t="s">
        <v>781</v>
      </c>
      <c r="E10" s="1">
        <v>999</v>
      </c>
      <c r="F10" s="1" t="s">
        <v>782</v>
      </c>
    </row>
    <row r="11" spans="1:6">
      <c r="A11" s="1" t="s">
        <v>796</v>
      </c>
      <c r="B11" s="1" t="s">
        <v>643</v>
      </c>
      <c r="C11" s="3">
        <v>46060</v>
      </c>
      <c r="D11" s="1" t="s">
        <v>784</v>
      </c>
      <c r="E11" s="1">
        <v>799</v>
      </c>
      <c r="F11" s="1" t="s">
        <v>782</v>
      </c>
    </row>
    <row r="12" spans="1:6">
      <c r="A12" s="1" t="s">
        <v>797</v>
      </c>
      <c r="B12" s="1" t="s">
        <v>746</v>
      </c>
      <c r="C12" s="3">
        <v>46197</v>
      </c>
      <c r="D12" s="1" t="s">
        <v>784</v>
      </c>
      <c r="E12" s="1">
        <v>2299</v>
      </c>
      <c r="F12" s="1" t="s">
        <v>782</v>
      </c>
    </row>
    <row r="13" spans="1:6">
      <c r="A13" s="1" t="s">
        <v>798</v>
      </c>
      <c r="B13" s="1" t="s">
        <v>747</v>
      </c>
      <c r="C13" s="3">
        <v>46173</v>
      </c>
      <c r="D13" s="1" t="s">
        <v>799</v>
      </c>
      <c r="E13" s="1">
        <v>2799</v>
      </c>
      <c r="F13" s="1" t="s">
        <v>782</v>
      </c>
    </row>
    <row r="14" spans="1:6">
      <c r="A14" s="1" t="s">
        <v>800</v>
      </c>
      <c r="B14" s="1" t="s">
        <v>591</v>
      </c>
      <c r="C14" s="3">
        <v>46129</v>
      </c>
      <c r="D14" s="1" t="s">
        <v>786</v>
      </c>
      <c r="E14" s="1">
        <v>1199</v>
      </c>
      <c r="F14" s="1" t="s">
        <v>782</v>
      </c>
    </row>
    <row r="15" spans="1:6">
      <c r="A15" s="1" t="s">
        <v>801</v>
      </c>
      <c r="B15" s="1" t="s">
        <v>303</v>
      </c>
      <c r="C15" s="3">
        <v>46129</v>
      </c>
      <c r="D15" s="1" t="s">
        <v>781</v>
      </c>
      <c r="E15" s="1">
        <v>1999</v>
      </c>
      <c r="F15" s="1" t="s">
        <v>782</v>
      </c>
    </row>
    <row r="16" spans="1:6">
      <c r="A16" s="1" t="s">
        <v>802</v>
      </c>
      <c r="B16" s="1" t="s">
        <v>427</v>
      </c>
      <c r="C16" s="3">
        <v>46101</v>
      </c>
      <c r="D16" s="1" t="s">
        <v>788</v>
      </c>
      <c r="E16" s="1">
        <v>3499</v>
      </c>
      <c r="F16" s="1" t="s">
        <v>782</v>
      </c>
    </row>
    <row r="17" spans="1:6">
      <c r="A17" s="1" t="s">
        <v>803</v>
      </c>
      <c r="B17" s="1" t="s">
        <v>94</v>
      </c>
      <c r="C17" s="3">
        <v>46072</v>
      </c>
      <c r="D17" s="1" t="s">
        <v>784</v>
      </c>
      <c r="E17" s="1">
        <v>998</v>
      </c>
      <c r="F17" s="1" t="s">
        <v>782</v>
      </c>
    </row>
    <row r="18" spans="1:6">
      <c r="A18" s="1" t="s">
        <v>804</v>
      </c>
      <c r="B18" s="1" t="s">
        <v>652</v>
      </c>
      <c r="C18" s="3">
        <v>46067</v>
      </c>
      <c r="D18" s="1" t="s">
        <v>784</v>
      </c>
      <c r="E18" s="1">
        <v>6598</v>
      </c>
      <c r="F18" s="1" t="s">
        <v>782</v>
      </c>
    </row>
    <row r="19" spans="1:6">
      <c r="A19" s="1" t="s">
        <v>805</v>
      </c>
      <c r="B19" s="1" t="s">
        <v>711</v>
      </c>
      <c r="C19" s="3">
        <v>46030</v>
      </c>
      <c r="D19" s="1" t="s">
        <v>788</v>
      </c>
      <c r="E19" s="1">
        <v>1599</v>
      </c>
      <c r="F19" s="1" t="s">
        <v>782</v>
      </c>
    </row>
    <row r="20" spans="1:6">
      <c r="A20" s="1" t="s">
        <v>806</v>
      </c>
      <c r="B20" s="1" t="s">
        <v>571</v>
      </c>
      <c r="C20" s="3">
        <v>46204</v>
      </c>
      <c r="D20" s="1" t="s">
        <v>788</v>
      </c>
      <c r="E20" s="1">
        <v>2598</v>
      </c>
      <c r="F20" s="1" t="s">
        <v>782</v>
      </c>
    </row>
    <row r="21" spans="1:6">
      <c r="A21" s="1" t="s">
        <v>807</v>
      </c>
      <c r="B21" s="1" t="s">
        <v>200</v>
      </c>
      <c r="C21" s="3">
        <v>46098</v>
      </c>
      <c r="D21" s="1" t="s">
        <v>784</v>
      </c>
      <c r="E21" s="1">
        <v>3499</v>
      </c>
      <c r="F21" s="1" t="s">
        <v>782</v>
      </c>
    </row>
    <row r="22" spans="1:6">
      <c r="A22" s="1" t="s">
        <v>808</v>
      </c>
      <c r="B22" s="1" t="s">
        <v>656</v>
      </c>
      <c r="C22" s="3">
        <v>46160</v>
      </c>
      <c r="D22" s="1" t="s">
        <v>781</v>
      </c>
      <c r="E22" s="1">
        <v>1299</v>
      </c>
      <c r="F22" s="1" t="s">
        <v>782</v>
      </c>
    </row>
    <row r="23" spans="1:6">
      <c r="A23" s="1" t="s">
        <v>809</v>
      </c>
      <c r="B23" s="1" t="s">
        <v>575</v>
      </c>
      <c r="C23" s="3">
        <v>46162</v>
      </c>
      <c r="D23" s="1" t="s">
        <v>784</v>
      </c>
      <c r="E23" s="1">
        <v>3198</v>
      </c>
      <c r="F23" s="1" t="s">
        <v>782</v>
      </c>
    </row>
    <row r="24" spans="1:6">
      <c r="A24" s="1" t="s">
        <v>810</v>
      </c>
      <c r="B24" s="1" t="s">
        <v>512</v>
      </c>
      <c r="C24" s="3">
        <v>46073</v>
      </c>
      <c r="D24" s="1" t="s">
        <v>784</v>
      </c>
      <c r="E24" s="1">
        <v>1799</v>
      </c>
      <c r="F24" s="1" t="s">
        <v>782</v>
      </c>
    </row>
    <row r="25" spans="1:6">
      <c r="A25" s="1" t="s">
        <v>811</v>
      </c>
      <c r="B25" s="1" t="s">
        <v>514</v>
      </c>
      <c r="C25" s="3">
        <v>46148</v>
      </c>
      <c r="D25" s="1" t="s">
        <v>786</v>
      </c>
      <c r="E25" s="1">
        <v>6998</v>
      </c>
      <c r="F25" s="1" t="s">
        <v>782</v>
      </c>
    </row>
    <row r="26" spans="1:6">
      <c r="A26" s="1" t="s">
        <v>812</v>
      </c>
      <c r="B26" s="1" t="s">
        <v>739</v>
      </c>
      <c r="C26" s="3">
        <v>46081</v>
      </c>
      <c r="D26" s="1" t="s">
        <v>788</v>
      </c>
      <c r="E26" s="1">
        <v>1199</v>
      </c>
      <c r="F26" s="1" t="s">
        <v>813</v>
      </c>
    </row>
    <row r="27" spans="1:6">
      <c r="A27" s="1" t="s">
        <v>814</v>
      </c>
      <c r="B27" s="1" t="s">
        <v>139</v>
      </c>
      <c r="C27" s="3">
        <v>46061</v>
      </c>
      <c r="D27" s="1" t="s">
        <v>788</v>
      </c>
      <c r="E27" s="1">
        <v>999</v>
      </c>
      <c r="F27" s="1" t="s">
        <v>782</v>
      </c>
    </row>
    <row r="28" spans="1:6">
      <c r="A28" s="1" t="s">
        <v>815</v>
      </c>
      <c r="B28" s="1" t="s">
        <v>542</v>
      </c>
      <c r="C28" s="3">
        <v>46167</v>
      </c>
      <c r="D28" s="1" t="s">
        <v>781</v>
      </c>
      <c r="E28" s="1">
        <v>1798</v>
      </c>
      <c r="F28" s="1" t="s">
        <v>782</v>
      </c>
    </row>
    <row r="29" spans="1:6">
      <c r="A29" s="1" t="s">
        <v>816</v>
      </c>
      <c r="B29" s="1" t="s">
        <v>579</v>
      </c>
      <c r="C29" s="3">
        <v>46203</v>
      </c>
      <c r="D29" s="1" t="s">
        <v>788</v>
      </c>
      <c r="E29" s="1">
        <v>3499</v>
      </c>
      <c r="F29" s="1" t="s">
        <v>782</v>
      </c>
    </row>
    <row r="30" spans="1:6">
      <c r="A30" s="1" t="s">
        <v>817</v>
      </c>
      <c r="B30" s="1" t="s">
        <v>350</v>
      </c>
      <c r="C30" s="3">
        <v>46106</v>
      </c>
      <c r="D30" s="1" t="s">
        <v>786</v>
      </c>
      <c r="E30" s="1">
        <v>3499</v>
      </c>
      <c r="F30" s="1" t="s">
        <v>818</v>
      </c>
    </row>
    <row r="31" spans="1:6">
      <c r="A31" s="1" t="s">
        <v>819</v>
      </c>
      <c r="B31" s="1" t="s">
        <v>415</v>
      </c>
      <c r="C31" s="3">
        <v>46200</v>
      </c>
      <c r="D31" s="1" t="s">
        <v>788</v>
      </c>
      <c r="E31" s="1">
        <v>3499</v>
      </c>
      <c r="F31" s="1" t="s">
        <v>782</v>
      </c>
    </row>
    <row r="32" spans="1:6">
      <c r="A32" s="1" t="s">
        <v>820</v>
      </c>
      <c r="B32" s="1" t="s">
        <v>503</v>
      </c>
      <c r="C32" s="3">
        <v>46186</v>
      </c>
      <c r="D32" s="1" t="s">
        <v>790</v>
      </c>
      <c r="E32" s="1">
        <v>3999</v>
      </c>
      <c r="F32" s="1" t="s">
        <v>782</v>
      </c>
    </row>
    <row r="33" spans="1:6">
      <c r="A33" s="1" t="s">
        <v>821</v>
      </c>
      <c r="B33" s="1" t="s">
        <v>333</v>
      </c>
      <c r="C33" s="3">
        <v>46173</v>
      </c>
      <c r="D33" s="1" t="s">
        <v>822</v>
      </c>
      <c r="E33" s="1">
        <v>2799</v>
      </c>
      <c r="F33" s="1" t="s">
        <v>782</v>
      </c>
    </row>
    <row r="34" spans="1:6">
      <c r="A34" s="1" t="s">
        <v>823</v>
      </c>
      <c r="B34" s="1" t="s">
        <v>625</v>
      </c>
      <c r="C34" s="3">
        <v>46036</v>
      </c>
      <c r="D34" s="1" t="s">
        <v>790</v>
      </c>
      <c r="E34" s="1">
        <v>2997</v>
      </c>
      <c r="F34" s="1" t="s">
        <v>782</v>
      </c>
    </row>
    <row r="35" spans="1:6">
      <c r="A35" s="1" t="s">
        <v>824</v>
      </c>
      <c r="B35" s="1" t="s">
        <v>719</v>
      </c>
      <c r="C35" s="3">
        <v>46141</v>
      </c>
      <c r="D35" s="1" t="s">
        <v>784</v>
      </c>
      <c r="E35" s="1">
        <v>5397</v>
      </c>
      <c r="F35" s="1" t="s">
        <v>782</v>
      </c>
    </row>
    <row r="36" spans="1:6">
      <c r="A36" s="1" t="s">
        <v>825</v>
      </c>
      <c r="B36" s="1" t="s">
        <v>438</v>
      </c>
      <c r="C36" s="3">
        <v>46030</v>
      </c>
      <c r="D36" s="1" t="s">
        <v>784</v>
      </c>
      <c r="E36" s="1">
        <v>899</v>
      </c>
      <c r="F36" s="1" t="s">
        <v>782</v>
      </c>
    </row>
    <row r="37" spans="1:6">
      <c r="A37" s="1" t="s">
        <v>826</v>
      </c>
      <c r="B37" s="1" t="s">
        <v>458</v>
      </c>
      <c r="C37" s="3">
        <v>46152</v>
      </c>
      <c r="D37" s="1" t="s">
        <v>788</v>
      </c>
      <c r="E37" s="1">
        <v>1198</v>
      </c>
      <c r="F37" s="1" t="s">
        <v>782</v>
      </c>
    </row>
    <row r="38" spans="1:6">
      <c r="A38" s="1" t="s">
        <v>827</v>
      </c>
      <c r="B38" s="1" t="s">
        <v>27</v>
      </c>
      <c r="C38" s="3">
        <v>46053</v>
      </c>
      <c r="D38" s="1" t="s">
        <v>828</v>
      </c>
      <c r="E38" s="1">
        <v>1799</v>
      </c>
      <c r="F38" s="1" t="s">
        <v>782</v>
      </c>
    </row>
    <row r="39" spans="1:6">
      <c r="A39" s="1" t="s">
        <v>829</v>
      </c>
      <c r="B39" s="1" t="s">
        <v>109</v>
      </c>
      <c r="C39" s="3">
        <v>46189</v>
      </c>
      <c r="D39" s="1" t="s">
        <v>786</v>
      </c>
      <c r="E39" s="1">
        <v>1499</v>
      </c>
      <c r="F39" s="1" t="s">
        <v>782</v>
      </c>
    </row>
    <row r="40" spans="1:6">
      <c r="A40" s="1" t="s">
        <v>830</v>
      </c>
      <c r="B40" s="1" t="s">
        <v>745</v>
      </c>
      <c r="C40" s="3">
        <v>46184</v>
      </c>
      <c r="D40" s="1" t="s">
        <v>790</v>
      </c>
      <c r="E40" s="1">
        <v>4497</v>
      </c>
      <c r="F40" s="1" t="s">
        <v>782</v>
      </c>
    </row>
    <row r="41" spans="1:6">
      <c r="A41" s="1" t="s">
        <v>831</v>
      </c>
      <c r="B41" s="1" t="s">
        <v>223</v>
      </c>
      <c r="C41" s="3">
        <v>46145</v>
      </c>
      <c r="D41" s="1" t="s">
        <v>781</v>
      </c>
      <c r="E41" s="1">
        <v>1799</v>
      </c>
      <c r="F41" s="1" t="s">
        <v>782</v>
      </c>
    </row>
    <row r="42" spans="1:6">
      <c r="A42" s="1" t="s">
        <v>832</v>
      </c>
      <c r="B42" s="1" t="s">
        <v>640</v>
      </c>
      <c r="C42" s="3">
        <v>46032</v>
      </c>
      <c r="D42" s="1" t="s">
        <v>833</v>
      </c>
      <c r="E42" s="1">
        <v>799</v>
      </c>
      <c r="F42" s="1" t="s">
        <v>782</v>
      </c>
    </row>
    <row r="43" spans="1:6">
      <c r="A43" s="1" t="s">
        <v>834</v>
      </c>
      <c r="B43" s="1" t="s">
        <v>488</v>
      </c>
      <c r="C43" s="3">
        <v>46143</v>
      </c>
      <c r="D43" s="1" t="s">
        <v>784</v>
      </c>
      <c r="E43" s="1">
        <v>3999</v>
      </c>
      <c r="F43" s="1" t="s">
        <v>782</v>
      </c>
    </row>
    <row r="44" spans="1:6">
      <c r="A44" s="1" t="s">
        <v>835</v>
      </c>
      <c r="B44" s="1" t="s">
        <v>298</v>
      </c>
      <c r="C44" s="3">
        <v>46196</v>
      </c>
      <c r="D44" s="1" t="s">
        <v>781</v>
      </c>
      <c r="E44" s="1">
        <v>2499</v>
      </c>
      <c r="F44" s="1" t="s">
        <v>782</v>
      </c>
    </row>
    <row r="45" spans="1:6">
      <c r="A45" s="1" t="s">
        <v>836</v>
      </c>
      <c r="B45" s="1" t="s">
        <v>212</v>
      </c>
      <c r="C45" s="3">
        <v>46040</v>
      </c>
      <c r="D45" s="1" t="s">
        <v>784</v>
      </c>
      <c r="E45" s="1">
        <v>2499</v>
      </c>
      <c r="F45" s="1" t="s">
        <v>782</v>
      </c>
    </row>
    <row r="46" spans="1:6">
      <c r="A46" s="1" t="s">
        <v>837</v>
      </c>
      <c r="B46" s="1" t="s">
        <v>742</v>
      </c>
      <c r="C46" s="3">
        <v>46129</v>
      </c>
      <c r="D46" s="1" t="s">
        <v>786</v>
      </c>
      <c r="E46" s="1">
        <v>1999</v>
      </c>
      <c r="F46" s="1" t="s">
        <v>782</v>
      </c>
    </row>
    <row r="47" spans="1:6">
      <c r="A47" s="1" t="s">
        <v>838</v>
      </c>
      <c r="B47" s="1" t="s">
        <v>191</v>
      </c>
      <c r="C47" s="3">
        <v>46116</v>
      </c>
      <c r="D47" s="1" t="s">
        <v>799</v>
      </c>
      <c r="E47" s="1">
        <v>999</v>
      </c>
      <c r="F47" s="1" t="s">
        <v>782</v>
      </c>
    </row>
    <row r="48" spans="1:6">
      <c r="A48" s="1" t="s">
        <v>839</v>
      </c>
      <c r="B48" s="1" t="s">
        <v>11</v>
      </c>
      <c r="C48" s="3">
        <v>46078</v>
      </c>
      <c r="D48" s="1" t="s">
        <v>784</v>
      </c>
      <c r="E48" s="1">
        <v>1999</v>
      </c>
      <c r="F48" s="1" t="s">
        <v>782</v>
      </c>
    </row>
    <row r="49" spans="1:6">
      <c r="A49" s="1" t="s">
        <v>840</v>
      </c>
      <c r="B49" s="1" t="s">
        <v>464</v>
      </c>
      <c r="C49" s="3">
        <v>46138</v>
      </c>
      <c r="D49" s="1" t="s">
        <v>781</v>
      </c>
      <c r="E49" s="1">
        <v>3198</v>
      </c>
      <c r="F49" s="1" t="s">
        <v>782</v>
      </c>
    </row>
    <row r="50" spans="1:6">
      <c r="A50" s="1" t="s">
        <v>841</v>
      </c>
      <c r="B50" s="1" t="s">
        <v>628</v>
      </c>
      <c r="C50" s="3">
        <v>46137</v>
      </c>
      <c r="D50" s="1" t="s">
        <v>786</v>
      </c>
      <c r="E50" s="1">
        <v>4598</v>
      </c>
      <c r="F50" s="1" t="s">
        <v>782</v>
      </c>
    </row>
    <row r="51" spans="1:6">
      <c r="A51" s="1" t="s">
        <v>842</v>
      </c>
      <c r="B51" s="1" t="s">
        <v>767</v>
      </c>
      <c r="C51" s="3">
        <v>46041</v>
      </c>
      <c r="D51" s="1" t="s">
        <v>790</v>
      </c>
      <c r="E51" s="1">
        <v>3499</v>
      </c>
      <c r="F51" s="1" t="s">
        <v>782</v>
      </c>
    </row>
    <row r="52" spans="1:6">
      <c r="A52" s="1" t="s">
        <v>843</v>
      </c>
      <c r="B52" s="1" t="s">
        <v>39</v>
      </c>
      <c r="C52" s="3">
        <v>46182</v>
      </c>
      <c r="D52" s="1" t="s">
        <v>786</v>
      </c>
      <c r="E52" s="1">
        <v>1299</v>
      </c>
      <c r="F52" s="1" t="s">
        <v>813</v>
      </c>
    </row>
    <row r="53" spans="1:6">
      <c r="A53" s="1" t="s">
        <v>844</v>
      </c>
      <c r="B53" s="1" t="s">
        <v>679</v>
      </c>
      <c r="C53" s="3">
        <v>46082</v>
      </c>
      <c r="D53" s="1" t="s">
        <v>781</v>
      </c>
      <c r="E53" s="1">
        <v>3999</v>
      </c>
      <c r="F53" s="1" t="s">
        <v>782</v>
      </c>
    </row>
    <row r="54" spans="1:6">
      <c r="A54" s="1" t="s">
        <v>845</v>
      </c>
      <c r="B54" s="1" t="s">
        <v>646</v>
      </c>
      <c r="C54" s="3">
        <v>46124</v>
      </c>
      <c r="D54" s="1" t="s">
        <v>788</v>
      </c>
      <c r="E54" s="1">
        <v>4598</v>
      </c>
      <c r="F54" s="1" t="s">
        <v>782</v>
      </c>
    </row>
    <row r="55" spans="1:6">
      <c r="A55" s="1" t="s">
        <v>846</v>
      </c>
      <c r="B55" s="1" t="s">
        <v>473</v>
      </c>
      <c r="C55" s="3">
        <v>46160</v>
      </c>
      <c r="D55" s="1" t="s">
        <v>786</v>
      </c>
      <c r="E55" s="1">
        <v>1499</v>
      </c>
      <c r="F55" s="1" t="s">
        <v>782</v>
      </c>
    </row>
    <row r="56" spans="1:6">
      <c r="A56" s="1" t="s">
        <v>847</v>
      </c>
      <c r="B56" s="1" t="s">
        <v>691</v>
      </c>
      <c r="C56" s="3">
        <v>46181</v>
      </c>
      <c r="D56" s="1" t="s">
        <v>790</v>
      </c>
      <c r="E56" s="1">
        <v>3299</v>
      </c>
      <c r="F56" s="1" t="s">
        <v>782</v>
      </c>
    </row>
    <row r="57" spans="1:6">
      <c r="A57" s="1" t="s">
        <v>848</v>
      </c>
      <c r="B57" s="1" t="s">
        <v>260</v>
      </c>
      <c r="C57" s="3">
        <v>46110</v>
      </c>
      <c r="D57" s="1" t="s">
        <v>781</v>
      </c>
      <c r="E57" s="1">
        <v>1749</v>
      </c>
      <c r="F57" s="1" t="s">
        <v>782</v>
      </c>
    </row>
    <row r="58" spans="1:6">
      <c r="A58" s="1" t="s">
        <v>849</v>
      </c>
      <c r="B58" s="1" t="s">
        <v>282</v>
      </c>
      <c r="C58" s="3">
        <v>46041</v>
      </c>
      <c r="D58" s="1" t="s">
        <v>784</v>
      </c>
      <c r="E58" s="1">
        <v>999</v>
      </c>
      <c r="F58" s="1" t="s">
        <v>782</v>
      </c>
    </row>
    <row r="59" spans="1:6">
      <c r="A59" s="1" t="s">
        <v>850</v>
      </c>
      <c r="B59" s="1" t="s">
        <v>588</v>
      </c>
      <c r="C59" s="3">
        <v>46064</v>
      </c>
      <c r="D59" s="1" t="s">
        <v>788</v>
      </c>
      <c r="E59" s="1">
        <v>1299</v>
      </c>
      <c r="F59" s="1" t="s">
        <v>782</v>
      </c>
    </row>
    <row r="60" spans="1:6">
      <c r="A60" s="1" t="s">
        <v>851</v>
      </c>
      <c r="B60" s="1" t="s">
        <v>362</v>
      </c>
      <c r="C60" s="3">
        <v>46196</v>
      </c>
      <c r="D60" s="1" t="s">
        <v>786</v>
      </c>
      <c r="E60" s="1">
        <v>799</v>
      </c>
      <c r="F60" s="1" t="s">
        <v>782</v>
      </c>
    </row>
    <row r="61" spans="1:6">
      <c r="A61" s="1" t="s">
        <v>852</v>
      </c>
      <c r="B61" s="1" t="s">
        <v>662</v>
      </c>
      <c r="C61" s="3">
        <v>46138</v>
      </c>
      <c r="D61" s="1" t="s">
        <v>790</v>
      </c>
      <c r="E61" s="1">
        <v>1499</v>
      </c>
      <c r="F61" s="1" t="s">
        <v>782</v>
      </c>
    </row>
    <row r="62" spans="1:6">
      <c r="A62" s="1" t="s">
        <v>853</v>
      </c>
      <c r="B62" s="1" t="s">
        <v>152</v>
      </c>
      <c r="C62" s="3">
        <v>46073</v>
      </c>
      <c r="D62" s="1" t="s">
        <v>788</v>
      </c>
      <c r="E62" s="1">
        <v>5997</v>
      </c>
      <c r="F62" s="1" t="s">
        <v>782</v>
      </c>
    </row>
    <row r="63" spans="1:6">
      <c r="A63" s="1" t="s">
        <v>854</v>
      </c>
      <c r="B63" s="1" t="s">
        <v>529</v>
      </c>
      <c r="C63" s="3">
        <v>46164</v>
      </c>
      <c r="D63" s="1" t="s">
        <v>786</v>
      </c>
      <c r="E63" s="1">
        <v>899</v>
      </c>
      <c r="F63" s="1" t="s">
        <v>782</v>
      </c>
    </row>
    <row r="64" spans="1:6">
      <c r="A64" s="1" t="s">
        <v>855</v>
      </c>
      <c r="B64" s="1" t="s">
        <v>687</v>
      </c>
      <c r="C64" s="3">
        <v>46126</v>
      </c>
      <c r="D64" s="1" t="s">
        <v>790</v>
      </c>
      <c r="E64" s="1">
        <v>499</v>
      </c>
      <c r="F64" s="1" t="s">
        <v>782</v>
      </c>
    </row>
    <row r="65" spans="1:6">
      <c r="A65" s="1" t="s">
        <v>856</v>
      </c>
      <c r="B65" s="1" t="s">
        <v>716</v>
      </c>
      <c r="C65" s="3">
        <v>46067</v>
      </c>
      <c r="D65" s="1" t="s">
        <v>857</v>
      </c>
      <c r="E65" s="1">
        <v>2799</v>
      </c>
      <c r="F65" s="1" t="s">
        <v>782</v>
      </c>
    </row>
    <row r="66" spans="1:6">
      <c r="A66" s="1" t="s">
        <v>858</v>
      </c>
      <c r="B66" s="1" t="s">
        <v>500</v>
      </c>
      <c r="C66" s="3">
        <v>46125</v>
      </c>
      <c r="D66" s="1" t="s">
        <v>784</v>
      </c>
      <c r="E66" s="1">
        <v>3998</v>
      </c>
      <c r="F66" s="1" t="s">
        <v>782</v>
      </c>
    </row>
    <row r="67" spans="1:6">
      <c r="A67" s="1" t="s">
        <v>859</v>
      </c>
      <c r="B67" s="1" t="s">
        <v>773</v>
      </c>
      <c r="C67" s="3">
        <v>46134</v>
      </c>
      <c r="D67" s="1" t="s">
        <v>784</v>
      </c>
      <c r="E67" s="1">
        <v>6998</v>
      </c>
      <c r="F67" s="1" t="s">
        <v>782</v>
      </c>
    </row>
    <row r="68" spans="1:6">
      <c r="A68" s="1" t="s">
        <v>860</v>
      </c>
      <c r="B68" s="1" t="s">
        <v>294</v>
      </c>
      <c r="C68" s="3">
        <v>46109</v>
      </c>
      <c r="D68" s="1" t="s">
        <v>781</v>
      </c>
      <c r="E68" s="1">
        <v>1799</v>
      </c>
      <c r="F68" s="1" t="s">
        <v>782</v>
      </c>
    </row>
    <row r="69" spans="1:6">
      <c r="A69" s="1" t="s">
        <v>861</v>
      </c>
      <c r="B69" s="1" t="s">
        <v>750</v>
      </c>
      <c r="C69" s="3">
        <v>46093</v>
      </c>
      <c r="D69" s="1" t="s">
        <v>788</v>
      </c>
      <c r="E69" s="1">
        <v>7998</v>
      </c>
      <c r="F69" s="1" t="s">
        <v>782</v>
      </c>
    </row>
    <row r="70" spans="1:6">
      <c r="A70" s="1" t="s">
        <v>862</v>
      </c>
      <c r="B70" s="1" t="s">
        <v>462</v>
      </c>
      <c r="C70" s="3">
        <v>46103</v>
      </c>
      <c r="D70" s="1" t="s">
        <v>786</v>
      </c>
      <c r="E70" s="1">
        <v>1499</v>
      </c>
      <c r="F70" s="1" t="s">
        <v>782</v>
      </c>
    </row>
    <row r="71" spans="1:6">
      <c r="A71" s="1" t="s">
        <v>863</v>
      </c>
      <c r="B71" s="1" t="s">
        <v>159</v>
      </c>
      <c r="C71" s="3">
        <v>46078</v>
      </c>
      <c r="D71" s="1" t="s">
        <v>786</v>
      </c>
      <c r="E71" s="1">
        <v>3198</v>
      </c>
      <c r="F71" s="1" t="s">
        <v>782</v>
      </c>
    </row>
    <row r="72" spans="1:6">
      <c r="A72" s="1" t="s">
        <v>864</v>
      </c>
      <c r="B72" s="1" t="s">
        <v>116</v>
      </c>
      <c r="C72" s="3">
        <v>46072</v>
      </c>
      <c r="D72" s="1" t="s">
        <v>786</v>
      </c>
      <c r="E72" s="1">
        <v>6897</v>
      </c>
      <c r="F72" s="1" t="s">
        <v>782</v>
      </c>
    </row>
    <row r="73" spans="1:6">
      <c r="A73" s="1" t="s">
        <v>865</v>
      </c>
      <c r="B73" s="1" t="s">
        <v>586</v>
      </c>
      <c r="C73" s="3">
        <v>46160</v>
      </c>
      <c r="D73" s="1" t="s">
        <v>786</v>
      </c>
      <c r="E73" s="1">
        <v>499</v>
      </c>
      <c r="F73" s="1" t="s">
        <v>782</v>
      </c>
    </row>
    <row r="74" spans="1:6">
      <c r="A74" s="1" t="s">
        <v>838</v>
      </c>
      <c r="B74" s="1" t="s">
        <v>191</v>
      </c>
      <c r="C74" s="3">
        <v>46116</v>
      </c>
      <c r="D74" s="1" t="s">
        <v>799</v>
      </c>
      <c r="E74" s="1">
        <v>999</v>
      </c>
      <c r="F74" s="1" t="s">
        <v>782</v>
      </c>
    </row>
    <row r="75" spans="1:6">
      <c r="A75" s="1" t="s">
        <v>866</v>
      </c>
      <c r="B75" s="1" t="s">
        <v>749</v>
      </c>
      <c r="C75" s="3">
        <v>46123</v>
      </c>
      <c r="D75" s="1" t="s">
        <v>784</v>
      </c>
      <c r="E75" s="1">
        <v>999</v>
      </c>
      <c r="F75" s="1" t="s">
        <v>782</v>
      </c>
    </row>
    <row r="76" spans="1:6">
      <c r="A76" s="1" t="s">
        <v>867</v>
      </c>
      <c r="B76" s="1" t="s">
        <v>237</v>
      </c>
      <c r="C76" s="3">
        <v>46140</v>
      </c>
      <c r="D76" s="1" t="s">
        <v>868</v>
      </c>
      <c r="E76" s="1">
        <v>2499</v>
      </c>
      <c r="F76" s="1" t="s">
        <v>792</v>
      </c>
    </row>
    <row r="77" spans="1:6">
      <c r="A77" s="1" t="s">
        <v>869</v>
      </c>
      <c r="B77" s="1" t="s">
        <v>678</v>
      </c>
      <c r="C77" s="3">
        <v>46182</v>
      </c>
      <c r="D77" s="1" t="s">
        <v>786</v>
      </c>
      <c r="E77" s="1">
        <v>3999</v>
      </c>
      <c r="F77" s="1" t="s">
        <v>782</v>
      </c>
    </row>
    <row r="78" spans="1:6">
      <c r="A78" s="1" t="s">
        <v>870</v>
      </c>
      <c r="B78" s="1" t="s">
        <v>547</v>
      </c>
      <c r="C78" s="3">
        <v>46167</v>
      </c>
      <c r="D78" s="1" t="s">
        <v>788</v>
      </c>
      <c r="E78" s="1">
        <v>2299</v>
      </c>
      <c r="F78" s="1" t="s">
        <v>782</v>
      </c>
    </row>
    <row r="79" spans="1:6">
      <c r="A79" s="1" t="s">
        <v>871</v>
      </c>
      <c r="B79" s="1" t="s">
        <v>337</v>
      </c>
      <c r="C79" s="3">
        <v>46025</v>
      </c>
      <c r="D79" s="1" t="s">
        <v>790</v>
      </c>
      <c r="E79" s="1">
        <v>5997</v>
      </c>
      <c r="F79" s="1" t="s">
        <v>872</v>
      </c>
    </row>
    <row r="80" spans="1:6">
      <c r="A80" s="1" t="s">
        <v>873</v>
      </c>
      <c r="B80" s="1" t="s">
        <v>344</v>
      </c>
      <c r="C80" s="3">
        <v>46033</v>
      </c>
      <c r="D80" s="1" t="s">
        <v>781</v>
      </c>
      <c r="E80" s="1">
        <v>2697</v>
      </c>
      <c r="F80" s="1" t="s">
        <v>782</v>
      </c>
    </row>
    <row r="81" spans="1:6">
      <c r="A81" s="1" t="s">
        <v>874</v>
      </c>
      <c r="B81" s="1" t="s">
        <v>720</v>
      </c>
      <c r="C81" s="3">
        <v>46058</v>
      </c>
      <c r="D81" s="1" t="s">
        <v>868</v>
      </c>
      <c r="E81" s="1">
        <v>999</v>
      </c>
      <c r="F81" s="1" t="s">
        <v>818</v>
      </c>
    </row>
    <row r="82" spans="1:6">
      <c r="A82" s="1" t="s">
        <v>875</v>
      </c>
      <c r="B82" s="1" t="s">
        <v>361</v>
      </c>
      <c r="C82" s="3">
        <v>46200</v>
      </c>
      <c r="D82" s="1" t="s">
        <v>781</v>
      </c>
      <c r="E82" s="1">
        <v>2499</v>
      </c>
      <c r="F82" s="1" t="s">
        <v>782</v>
      </c>
    </row>
    <row r="83" spans="1:6">
      <c r="A83" s="1" t="s">
        <v>876</v>
      </c>
      <c r="B83" s="1" t="s">
        <v>527</v>
      </c>
      <c r="C83" s="3">
        <v>46092</v>
      </c>
      <c r="D83" s="1" t="s">
        <v>781</v>
      </c>
      <c r="E83" s="1">
        <v>2398</v>
      </c>
      <c r="F83" s="1" t="s">
        <v>782</v>
      </c>
    </row>
    <row r="84" spans="1:6">
      <c r="A84" s="1" t="s">
        <v>877</v>
      </c>
      <c r="B84" s="1" t="s">
        <v>607</v>
      </c>
      <c r="C84" s="3">
        <v>46162</v>
      </c>
      <c r="D84" s="1" t="s">
        <v>781</v>
      </c>
      <c r="E84" s="1">
        <v>1497</v>
      </c>
      <c r="F84" s="1" t="s">
        <v>782</v>
      </c>
    </row>
    <row r="85" spans="1:6">
      <c r="A85" s="1" t="s">
        <v>878</v>
      </c>
      <c r="B85" s="1" t="s">
        <v>174</v>
      </c>
      <c r="C85" s="3">
        <v>46127</v>
      </c>
      <c r="D85" s="1" t="s">
        <v>790</v>
      </c>
      <c r="E85" s="1">
        <v>1499</v>
      </c>
      <c r="F85" s="1" t="s">
        <v>792</v>
      </c>
    </row>
    <row r="86" spans="1:6">
      <c r="A86" s="1" t="s">
        <v>879</v>
      </c>
      <c r="B86" s="1" t="s">
        <v>478</v>
      </c>
      <c r="C86" s="3">
        <v>46114</v>
      </c>
      <c r="D86" s="1" t="s">
        <v>784</v>
      </c>
      <c r="E86" s="1">
        <v>2398</v>
      </c>
      <c r="F86" s="1" t="s">
        <v>782</v>
      </c>
    </row>
    <row r="87" spans="1:6">
      <c r="A87" s="1" t="s">
        <v>880</v>
      </c>
      <c r="B87" s="1" t="s">
        <v>725</v>
      </c>
      <c r="C87" s="3">
        <v>46112</v>
      </c>
      <c r="D87" s="1" t="s">
        <v>788</v>
      </c>
      <c r="E87" s="1">
        <v>999</v>
      </c>
      <c r="F87" s="1" t="s">
        <v>782</v>
      </c>
    </row>
    <row r="88" spans="1:6">
      <c r="A88" s="1" t="s">
        <v>881</v>
      </c>
      <c r="B88" s="1" t="s">
        <v>633</v>
      </c>
      <c r="C88" s="3">
        <v>46187</v>
      </c>
      <c r="D88" s="1" t="s">
        <v>790</v>
      </c>
      <c r="E88" s="1">
        <v>999</v>
      </c>
      <c r="F88" s="1" t="s">
        <v>782</v>
      </c>
    </row>
    <row r="89" spans="1:6">
      <c r="A89" s="1" t="s">
        <v>882</v>
      </c>
      <c r="B89" s="1" t="s">
        <v>722</v>
      </c>
      <c r="C89" s="3">
        <v>46152</v>
      </c>
      <c r="D89" s="1" t="s">
        <v>786</v>
      </c>
      <c r="E89" s="1">
        <v>3299</v>
      </c>
      <c r="F89" s="1" t="s">
        <v>782</v>
      </c>
    </row>
    <row r="90" spans="1:6">
      <c r="A90" s="1" t="s">
        <v>883</v>
      </c>
      <c r="B90" s="1" t="s">
        <v>443</v>
      </c>
      <c r="C90" s="3">
        <v>46064</v>
      </c>
      <c r="D90" s="1" t="s">
        <v>788</v>
      </c>
      <c r="E90" s="1">
        <v>2499</v>
      </c>
      <c r="F90" s="1" t="s">
        <v>782</v>
      </c>
    </row>
    <row r="91" spans="1:6">
      <c r="A91" s="1" t="s">
        <v>884</v>
      </c>
      <c r="B91" s="1" t="s">
        <v>766</v>
      </c>
      <c r="C91" s="3">
        <v>46040</v>
      </c>
      <c r="D91" s="1" t="s">
        <v>786</v>
      </c>
      <c r="E91" s="1">
        <v>799</v>
      </c>
      <c r="F91" s="1" t="s">
        <v>782</v>
      </c>
    </row>
    <row r="92" spans="1:6">
      <c r="A92" s="1" t="s">
        <v>885</v>
      </c>
      <c r="B92" s="1" t="s">
        <v>124</v>
      </c>
      <c r="C92" s="3">
        <v>46093</v>
      </c>
      <c r="D92" s="1" t="s">
        <v>784</v>
      </c>
      <c r="E92" s="1">
        <v>1199</v>
      </c>
      <c r="F92" s="1" t="s">
        <v>782</v>
      </c>
    </row>
    <row r="93" spans="1:6">
      <c r="A93" s="1" t="s">
        <v>886</v>
      </c>
      <c r="B93" s="1" t="s">
        <v>498</v>
      </c>
      <c r="C93" s="3">
        <v>46042</v>
      </c>
      <c r="D93" s="1" t="s">
        <v>781</v>
      </c>
      <c r="E93" s="1">
        <v>1799</v>
      </c>
      <c r="F93" s="1" t="s">
        <v>782</v>
      </c>
    </row>
    <row r="94" spans="1:6">
      <c r="A94" s="1" t="s">
        <v>887</v>
      </c>
      <c r="B94" s="1" t="s">
        <v>619</v>
      </c>
      <c r="C94" s="3">
        <v>46196</v>
      </c>
      <c r="D94" s="1" t="s">
        <v>786</v>
      </c>
      <c r="E94" s="1">
        <v>899</v>
      </c>
      <c r="F94" s="1" t="s">
        <v>782</v>
      </c>
    </row>
    <row r="95" spans="1:6">
      <c r="A95" s="1" t="s">
        <v>888</v>
      </c>
      <c r="B95" s="1" t="s">
        <v>197</v>
      </c>
      <c r="C95" s="3">
        <v>46030</v>
      </c>
      <c r="D95" s="1" t="s">
        <v>833</v>
      </c>
      <c r="E95" s="1">
        <v>2998</v>
      </c>
      <c r="F95" s="1" t="s">
        <v>782</v>
      </c>
    </row>
    <row r="96" spans="1:6">
      <c r="A96" s="1" t="s">
        <v>889</v>
      </c>
      <c r="B96" s="1" t="s">
        <v>755</v>
      </c>
      <c r="C96" s="3">
        <v>46181</v>
      </c>
      <c r="D96" s="1" t="s">
        <v>786</v>
      </c>
      <c r="E96" s="1">
        <v>599</v>
      </c>
      <c r="F96" s="1" t="s">
        <v>782</v>
      </c>
    </row>
    <row r="97" spans="1:6">
      <c r="A97" s="1" t="s">
        <v>890</v>
      </c>
      <c r="B97" s="1" t="s">
        <v>348</v>
      </c>
      <c r="C97" s="3">
        <v>46157</v>
      </c>
      <c r="D97" s="1" t="s">
        <v>790</v>
      </c>
      <c r="E97" s="1">
        <v>2199</v>
      </c>
      <c r="F97" s="1" t="s">
        <v>872</v>
      </c>
    </row>
    <row r="98" spans="1:6">
      <c r="A98" s="1" t="s">
        <v>891</v>
      </c>
      <c r="B98" s="1" t="s">
        <v>594</v>
      </c>
      <c r="C98" s="3">
        <v>46189</v>
      </c>
      <c r="D98" s="1" t="s">
        <v>868</v>
      </c>
      <c r="E98" s="1">
        <v>3198</v>
      </c>
      <c r="F98" s="1" t="s">
        <v>782</v>
      </c>
    </row>
    <row r="99" spans="1:6">
      <c r="A99" s="1" t="s">
        <v>892</v>
      </c>
      <c r="B99" s="1" t="s">
        <v>644</v>
      </c>
      <c r="C99" s="3">
        <v>46059</v>
      </c>
      <c r="D99" s="1" t="s">
        <v>781</v>
      </c>
      <c r="E99" s="1">
        <v>2799</v>
      </c>
      <c r="F99" s="1" t="s">
        <v>782</v>
      </c>
    </row>
    <row r="100" spans="1:6">
      <c r="A100" s="1" t="s">
        <v>893</v>
      </c>
      <c r="B100" s="1" t="s">
        <v>230</v>
      </c>
      <c r="C100" s="3">
        <v>46177</v>
      </c>
      <c r="D100" s="1" t="s">
        <v>790</v>
      </c>
      <c r="E100" s="1">
        <v>1499</v>
      </c>
      <c r="F100" s="1" t="s">
        <v>782</v>
      </c>
    </row>
    <row r="101" spans="1:6">
      <c r="A101" s="1" t="s">
        <v>894</v>
      </c>
      <c r="B101" s="1" t="s">
        <v>339</v>
      </c>
      <c r="C101" s="3">
        <v>46053</v>
      </c>
      <c r="D101" s="1" t="s">
        <v>822</v>
      </c>
      <c r="E101" s="1">
        <v>6598</v>
      </c>
      <c r="F101" s="1" t="s">
        <v>872</v>
      </c>
    </row>
    <row r="102" spans="1:6">
      <c r="A102" s="1" t="s">
        <v>895</v>
      </c>
      <c r="B102" s="1" t="s">
        <v>751</v>
      </c>
      <c r="C102" s="3">
        <v>46131</v>
      </c>
      <c r="D102" s="1" t="s">
        <v>781</v>
      </c>
      <c r="E102" s="1">
        <v>2299</v>
      </c>
      <c r="F102" s="1" t="s">
        <v>782</v>
      </c>
    </row>
    <row r="103" spans="1:6">
      <c r="A103" s="1" t="s">
        <v>896</v>
      </c>
      <c r="B103" s="1" t="s">
        <v>520</v>
      </c>
      <c r="C103" s="3">
        <v>46058</v>
      </c>
      <c r="D103" s="1" t="s">
        <v>784</v>
      </c>
      <c r="E103" s="1">
        <v>7998</v>
      </c>
      <c r="F103" s="1" t="s">
        <v>782</v>
      </c>
    </row>
    <row r="104" spans="1:6">
      <c r="A104" s="1" t="s">
        <v>897</v>
      </c>
      <c r="B104" s="1" t="s">
        <v>533</v>
      </c>
      <c r="C104" s="3">
        <v>46126</v>
      </c>
      <c r="D104" s="1" t="s">
        <v>868</v>
      </c>
      <c r="E104" s="1">
        <v>499</v>
      </c>
      <c r="F104" s="1" t="s">
        <v>782</v>
      </c>
    </row>
    <row r="105" spans="1:6">
      <c r="A105" s="1" t="s">
        <v>898</v>
      </c>
      <c r="B105" s="1" t="s">
        <v>157</v>
      </c>
      <c r="C105" s="3">
        <v>46122</v>
      </c>
      <c r="D105" s="1" t="s">
        <v>784</v>
      </c>
      <c r="E105" s="1">
        <v>3999</v>
      </c>
      <c r="F105" s="1" t="s">
        <v>782</v>
      </c>
    </row>
    <row r="106" spans="1:6">
      <c r="A106" s="1" t="s">
        <v>899</v>
      </c>
      <c r="B106" s="1" t="s">
        <v>550</v>
      </c>
      <c r="C106" s="3">
        <v>46198</v>
      </c>
      <c r="D106" s="1" t="s">
        <v>781</v>
      </c>
      <c r="E106" s="1">
        <v>799</v>
      </c>
      <c r="F106" s="1" t="s">
        <v>782</v>
      </c>
    </row>
    <row r="107" spans="1:6">
      <c r="A107" s="1" t="s">
        <v>900</v>
      </c>
      <c r="B107" s="1" t="s">
        <v>618</v>
      </c>
      <c r="C107" s="3">
        <v>46065</v>
      </c>
      <c r="D107" s="1" t="s">
        <v>788</v>
      </c>
      <c r="E107" s="1">
        <v>1499</v>
      </c>
      <c r="F107" s="1" t="s">
        <v>782</v>
      </c>
    </row>
    <row r="108" spans="1:6">
      <c r="A108" s="1" t="s">
        <v>901</v>
      </c>
      <c r="B108" s="1" t="s">
        <v>322</v>
      </c>
      <c r="C108" s="3">
        <v>46058</v>
      </c>
      <c r="D108" s="1" t="s">
        <v>786</v>
      </c>
      <c r="E108" s="1">
        <v>998</v>
      </c>
      <c r="F108" s="1" t="s">
        <v>782</v>
      </c>
    </row>
    <row r="109" spans="1:6">
      <c r="A109" s="1" t="s">
        <v>902</v>
      </c>
      <c r="B109" s="1" t="s">
        <v>293</v>
      </c>
      <c r="C109" s="3">
        <v>46142</v>
      </c>
      <c r="D109" s="1" t="s">
        <v>822</v>
      </c>
      <c r="E109" s="1">
        <v>999</v>
      </c>
      <c r="F109" s="1" t="s">
        <v>782</v>
      </c>
    </row>
    <row r="110" spans="1:6">
      <c r="A110" s="1" t="s">
        <v>903</v>
      </c>
      <c r="B110" s="1" t="s">
        <v>733</v>
      </c>
      <c r="C110" s="3">
        <v>46097</v>
      </c>
      <c r="D110" s="1" t="s">
        <v>786</v>
      </c>
      <c r="E110" s="1">
        <v>3999</v>
      </c>
      <c r="F110" s="1" t="s">
        <v>782</v>
      </c>
    </row>
    <row r="111" spans="1:6">
      <c r="A111" s="1" t="s">
        <v>904</v>
      </c>
      <c r="B111" s="1" t="s">
        <v>698</v>
      </c>
      <c r="C111" s="3">
        <v>46030</v>
      </c>
      <c r="D111" s="1" t="s">
        <v>784</v>
      </c>
      <c r="E111" s="1">
        <v>2499</v>
      </c>
      <c r="F111" s="1" t="s">
        <v>782</v>
      </c>
    </row>
    <row r="112" spans="1:6">
      <c r="A112" s="1" t="s">
        <v>905</v>
      </c>
      <c r="B112" s="1" t="s">
        <v>494</v>
      </c>
      <c r="C112" s="3">
        <v>46042</v>
      </c>
      <c r="D112" s="1" t="s">
        <v>781</v>
      </c>
      <c r="E112" s="1">
        <v>1299</v>
      </c>
      <c r="F112" s="1" t="s">
        <v>782</v>
      </c>
    </row>
    <row r="113" spans="1:6">
      <c r="A113" s="1" t="s">
        <v>906</v>
      </c>
      <c r="B113" s="1" t="s">
        <v>314</v>
      </c>
      <c r="C113" s="3">
        <v>46150</v>
      </c>
      <c r="D113" s="1" t="s">
        <v>788</v>
      </c>
      <c r="E113" s="1">
        <v>1599</v>
      </c>
      <c r="F113" s="1" t="s">
        <v>782</v>
      </c>
    </row>
    <row r="114" spans="1:6">
      <c r="A114" s="1" t="s">
        <v>907</v>
      </c>
      <c r="B114" s="1" t="s">
        <v>768</v>
      </c>
      <c r="C114" s="3">
        <v>46046</v>
      </c>
      <c r="D114" s="1" t="s">
        <v>788</v>
      </c>
      <c r="E114" s="1">
        <v>3198</v>
      </c>
      <c r="F114" s="1" t="s">
        <v>782</v>
      </c>
    </row>
    <row r="115" spans="1:6">
      <c r="A115" s="1" t="s">
        <v>908</v>
      </c>
      <c r="B115" s="1" t="s">
        <v>394</v>
      </c>
      <c r="C115" s="3">
        <v>46159</v>
      </c>
      <c r="D115" s="1" t="s">
        <v>790</v>
      </c>
      <c r="E115" s="1">
        <v>2799</v>
      </c>
      <c r="F115" s="1" t="s">
        <v>782</v>
      </c>
    </row>
    <row r="116" spans="1:6">
      <c r="A116" s="1" t="s">
        <v>909</v>
      </c>
      <c r="B116" s="1" t="s">
        <v>548</v>
      </c>
      <c r="C116" s="3">
        <v>46142</v>
      </c>
      <c r="D116" s="1" t="s">
        <v>828</v>
      </c>
      <c r="E116" s="1">
        <v>1998</v>
      </c>
      <c r="F116" s="1" t="s">
        <v>782</v>
      </c>
    </row>
    <row r="117" spans="1:6">
      <c r="A117" s="1" t="s">
        <v>910</v>
      </c>
      <c r="B117" s="1" t="s">
        <v>654</v>
      </c>
      <c r="C117" s="3">
        <v>46038</v>
      </c>
      <c r="D117" s="1" t="s">
        <v>868</v>
      </c>
      <c r="E117" s="1">
        <v>2199</v>
      </c>
      <c r="F117" s="1" t="s">
        <v>818</v>
      </c>
    </row>
    <row r="118" spans="1:6">
      <c r="A118" s="1" t="s">
        <v>911</v>
      </c>
      <c r="B118" s="1" t="s">
        <v>112</v>
      </c>
      <c r="C118" s="3">
        <v>46156</v>
      </c>
      <c r="D118" s="1" t="s">
        <v>788</v>
      </c>
      <c r="E118" s="1">
        <v>3999</v>
      </c>
      <c r="F118" s="1" t="s">
        <v>782</v>
      </c>
    </row>
    <row r="119" spans="1:6">
      <c r="A119" s="1" t="s">
        <v>912</v>
      </c>
      <c r="B119" s="1" t="s">
        <v>428</v>
      </c>
      <c r="C119" s="3">
        <v>46150</v>
      </c>
      <c r="D119" s="1" t="s">
        <v>790</v>
      </c>
      <c r="E119" s="1">
        <v>1998</v>
      </c>
      <c r="F119" s="1" t="s">
        <v>782</v>
      </c>
    </row>
    <row r="120" spans="1:6">
      <c r="A120" s="1" t="s">
        <v>913</v>
      </c>
      <c r="B120" s="1" t="s">
        <v>482</v>
      </c>
      <c r="C120" s="3">
        <v>46050</v>
      </c>
      <c r="D120" s="1" t="s">
        <v>781</v>
      </c>
      <c r="E120" s="1">
        <v>1999</v>
      </c>
      <c r="F120" s="1" t="s">
        <v>782</v>
      </c>
    </row>
    <row r="121" spans="1:6">
      <c r="A121" s="1" t="s">
        <v>914</v>
      </c>
      <c r="B121" s="1" t="s">
        <v>521</v>
      </c>
      <c r="C121" s="3">
        <v>46176</v>
      </c>
      <c r="D121" s="1" t="s">
        <v>784</v>
      </c>
      <c r="E121" s="1">
        <v>1999</v>
      </c>
      <c r="F121" s="1" t="s">
        <v>782</v>
      </c>
    </row>
    <row r="122" spans="1:6">
      <c r="A122" s="1" t="s">
        <v>915</v>
      </c>
      <c r="B122" s="1" t="s">
        <v>758</v>
      </c>
      <c r="C122" s="3">
        <v>46188</v>
      </c>
      <c r="D122" s="1" t="s">
        <v>790</v>
      </c>
      <c r="E122" s="1">
        <v>1599</v>
      </c>
      <c r="F122" s="1" t="s">
        <v>782</v>
      </c>
    </row>
    <row r="123" spans="1:6">
      <c r="A123" s="1" t="s">
        <v>916</v>
      </c>
      <c r="B123" s="1" t="s">
        <v>231</v>
      </c>
      <c r="C123" s="3">
        <v>46089</v>
      </c>
      <c r="D123" s="1" t="s">
        <v>833</v>
      </c>
      <c r="E123" s="1">
        <v>499</v>
      </c>
      <c r="F123" s="1" t="s">
        <v>782</v>
      </c>
    </row>
    <row r="124" spans="1:6">
      <c r="A124" s="1" t="s">
        <v>917</v>
      </c>
      <c r="B124" s="1" t="s">
        <v>469</v>
      </c>
      <c r="C124" s="3">
        <v>46086</v>
      </c>
      <c r="D124" s="1" t="s">
        <v>786</v>
      </c>
      <c r="E124" s="1">
        <v>999</v>
      </c>
      <c r="F124" s="1" t="s">
        <v>782</v>
      </c>
    </row>
    <row r="125" spans="1:6">
      <c r="A125" s="1" t="s">
        <v>918</v>
      </c>
      <c r="B125" s="1" t="s">
        <v>463</v>
      </c>
      <c r="C125" s="3">
        <v>46082</v>
      </c>
      <c r="D125" s="1" t="s">
        <v>828</v>
      </c>
      <c r="E125" s="1">
        <v>1599</v>
      </c>
      <c r="F125" s="1" t="s">
        <v>782</v>
      </c>
    </row>
    <row r="126" spans="1:6">
      <c r="A126" s="1" t="s">
        <v>919</v>
      </c>
      <c r="B126" s="1" t="s">
        <v>363</v>
      </c>
      <c r="C126" s="3">
        <v>46074</v>
      </c>
      <c r="D126" s="1" t="s">
        <v>828</v>
      </c>
      <c r="E126" s="1">
        <v>2499</v>
      </c>
      <c r="F126" s="1" t="s">
        <v>782</v>
      </c>
    </row>
    <row r="127" spans="1:6">
      <c r="A127" s="1" t="s">
        <v>920</v>
      </c>
      <c r="B127" s="1" t="s">
        <v>404</v>
      </c>
      <c r="C127" s="3">
        <v>46036</v>
      </c>
      <c r="D127" s="1" t="s">
        <v>781</v>
      </c>
      <c r="E127" s="1">
        <v>2199</v>
      </c>
      <c r="F127" s="1" t="s">
        <v>782</v>
      </c>
    </row>
    <row r="128" spans="1:6">
      <c r="A128" s="1" t="s">
        <v>921</v>
      </c>
      <c r="B128" s="1" t="s">
        <v>381</v>
      </c>
      <c r="C128" s="3">
        <v>46142</v>
      </c>
      <c r="D128" s="1" t="s">
        <v>786</v>
      </c>
      <c r="E128" s="1">
        <v>1599</v>
      </c>
      <c r="F128" s="1" t="s">
        <v>782</v>
      </c>
    </row>
    <row r="129" spans="1:6">
      <c r="A129" s="1" t="s">
        <v>922</v>
      </c>
      <c r="B129" s="1" t="s">
        <v>670</v>
      </c>
      <c r="C129" s="3">
        <v>46169</v>
      </c>
      <c r="D129" s="1" t="s">
        <v>799</v>
      </c>
      <c r="E129" s="1">
        <v>2499</v>
      </c>
      <c r="F129" s="1" t="s">
        <v>818</v>
      </c>
    </row>
    <row r="130" spans="1:6">
      <c r="A130" s="1" t="s">
        <v>923</v>
      </c>
      <c r="B130" s="1" t="s">
        <v>18</v>
      </c>
      <c r="C130" s="3">
        <v>46121</v>
      </c>
      <c r="D130" s="1" t="s">
        <v>781</v>
      </c>
      <c r="E130" s="1">
        <v>3299</v>
      </c>
      <c r="F130" s="1" t="s">
        <v>813</v>
      </c>
    </row>
    <row r="131" spans="1:6">
      <c r="A131" s="1" t="s">
        <v>924</v>
      </c>
      <c r="B131" s="1" t="s">
        <v>728</v>
      </c>
      <c r="C131" s="3">
        <v>46080</v>
      </c>
      <c r="D131" s="1" t="s">
        <v>786</v>
      </c>
      <c r="E131" s="1">
        <v>2199</v>
      </c>
      <c r="F131" s="1" t="s">
        <v>782</v>
      </c>
    </row>
    <row r="132" spans="1:6">
      <c r="A132" s="1" t="s">
        <v>925</v>
      </c>
      <c r="B132" s="1" t="s">
        <v>598</v>
      </c>
      <c r="C132" s="3">
        <v>46023</v>
      </c>
      <c r="D132" s="1" t="s">
        <v>784</v>
      </c>
      <c r="E132" s="1">
        <v>3198</v>
      </c>
      <c r="F132" s="1" t="s">
        <v>818</v>
      </c>
    </row>
    <row r="133" spans="1:6">
      <c r="A133" s="1" t="s">
        <v>926</v>
      </c>
      <c r="B133" s="1" t="s">
        <v>44</v>
      </c>
      <c r="C133" s="3">
        <v>46132</v>
      </c>
      <c r="D133" s="1" t="s">
        <v>786</v>
      </c>
      <c r="E133" s="1">
        <v>499</v>
      </c>
      <c r="F133" s="1" t="s">
        <v>813</v>
      </c>
    </row>
    <row r="134" spans="1:6">
      <c r="A134" s="1" t="s">
        <v>927</v>
      </c>
      <c r="B134" s="1" t="s">
        <v>756</v>
      </c>
      <c r="C134" s="3">
        <v>46081</v>
      </c>
      <c r="D134" s="1" t="s">
        <v>781</v>
      </c>
      <c r="E134" s="1">
        <v>3999</v>
      </c>
      <c r="F134" s="1" t="s">
        <v>782</v>
      </c>
    </row>
    <row r="135" spans="1:6">
      <c r="A135" s="1" t="s">
        <v>928</v>
      </c>
      <c r="B135" s="1" t="s">
        <v>101</v>
      </c>
      <c r="C135" s="3">
        <v>46133</v>
      </c>
      <c r="D135" s="1" t="s">
        <v>822</v>
      </c>
      <c r="E135" s="1">
        <v>1499</v>
      </c>
      <c r="F135" s="1" t="s">
        <v>782</v>
      </c>
    </row>
    <row r="136" spans="1:6">
      <c r="A136" s="1" t="s">
        <v>929</v>
      </c>
      <c r="B136" s="1" t="s">
        <v>582</v>
      </c>
      <c r="C136" s="3">
        <v>46107</v>
      </c>
      <c r="D136" s="1" t="s">
        <v>788</v>
      </c>
      <c r="E136" s="1">
        <v>999</v>
      </c>
      <c r="F136" s="1" t="s">
        <v>782</v>
      </c>
    </row>
    <row r="137" spans="1:6">
      <c r="A137" s="1" t="s">
        <v>930</v>
      </c>
      <c r="B137" s="1" t="s">
        <v>715</v>
      </c>
      <c r="C137" s="3">
        <v>46143</v>
      </c>
      <c r="D137" s="1" t="s">
        <v>790</v>
      </c>
      <c r="E137" s="1">
        <v>599</v>
      </c>
      <c r="F137" s="1" t="s">
        <v>782</v>
      </c>
    </row>
    <row r="138" spans="1:6">
      <c r="A138" s="1" t="s">
        <v>931</v>
      </c>
      <c r="B138" s="1" t="s">
        <v>524</v>
      </c>
      <c r="C138" s="3">
        <v>46045</v>
      </c>
      <c r="D138" s="1" t="s">
        <v>786</v>
      </c>
      <c r="E138" s="1">
        <v>899</v>
      </c>
      <c r="F138" s="1" t="s">
        <v>818</v>
      </c>
    </row>
    <row r="139" spans="1:6">
      <c r="A139" s="1" t="s">
        <v>932</v>
      </c>
      <c r="B139" s="1" t="s">
        <v>206</v>
      </c>
      <c r="C139" s="3">
        <v>46175</v>
      </c>
      <c r="D139" s="1" t="s">
        <v>784</v>
      </c>
      <c r="E139" s="1">
        <v>1499</v>
      </c>
      <c r="F139" s="1" t="s">
        <v>782</v>
      </c>
    </row>
    <row r="140" spans="1:6">
      <c r="A140" s="1" t="s">
        <v>933</v>
      </c>
      <c r="B140" s="1" t="s">
        <v>772</v>
      </c>
      <c r="C140" s="3">
        <v>46030</v>
      </c>
      <c r="D140" s="1" t="s">
        <v>781</v>
      </c>
      <c r="E140" s="1">
        <v>1299</v>
      </c>
      <c r="F140" s="1" t="s">
        <v>782</v>
      </c>
    </row>
    <row r="141" spans="1:6">
      <c r="A141" s="1" t="s">
        <v>934</v>
      </c>
      <c r="B141" s="1" t="s">
        <v>263</v>
      </c>
      <c r="C141" s="3">
        <v>46060</v>
      </c>
      <c r="D141" s="1" t="s">
        <v>788</v>
      </c>
      <c r="E141" s="1">
        <v>3499</v>
      </c>
      <c r="F141" s="1" t="s">
        <v>818</v>
      </c>
    </row>
    <row r="142" spans="1:6">
      <c r="A142" s="1" t="s">
        <v>935</v>
      </c>
      <c r="B142" s="1" t="s">
        <v>246</v>
      </c>
      <c r="C142" s="3">
        <v>46202</v>
      </c>
      <c r="D142" s="1" t="s">
        <v>790</v>
      </c>
      <c r="E142" s="1">
        <v>2398</v>
      </c>
      <c r="F142" s="1" t="s">
        <v>782</v>
      </c>
    </row>
    <row r="143" spans="1:6">
      <c r="A143" s="1" t="s">
        <v>936</v>
      </c>
      <c r="B143" s="1" t="s">
        <v>632</v>
      </c>
      <c r="C143" s="3">
        <v>46204</v>
      </c>
      <c r="D143" s="1" t="s">
        <v>788</v>
      </c>
      <c r="E143" s="1">
        <v>2199</v>
      </c>
      <c r="F143" s="1" t="s">
        <v>782</v>
      </c>
    </row>
    <row r="144" spans="1:6">
      <c r="A144" s="1" t="s">
        <v>937</v>
      </c>
      <c r="B144" s="1" t="s">
        <v>573</v>
      </c>
      <c r="C144" s="3">
        <v>46053</v>
      </c>
      <c r="D144" s="1" t="s">
        <v>784</v>
      </c>
      <c r="E144" s="1">
        <v>11997</v>
      </c>
      <c r="F144" s="1" t="s">
        <v>782</v>
      </c>
    </row>
    <row r="145" spans="1:6">
      <c r="A145" s="1" t="s">
        <v>938</v>
      </c>
      <c r="B145" s="1" t="s">
        <v>562</v>
      </c>
      <c r="C145" s="3">
        <v>46125</v>
      </c>
      <c r="D145" s="1" t="s">
        <v>788</v>
      </c>
      <c r="E145" s="1">
        <v>1799</v>
      </c>
      <c r="F145" s="1" t="s">
        <v>782</v>
      </c>
    </row>
    <row r="146" spans="1:6">
      <c r="A146" s="1" t="s">
        <v>939</v>
      </c>
      <c r="B146" s="1" t="s">
        <v>352</v>
      </c>
      <c r="C146" s="3">
        <v>46084</v>
      </c>
      <c r="D146" s="1" t="s">
        <v>781</v>
      </c>
      <c r="E146" s="1">
        <v>899</v>
      </c>
      <c r="F146" s="1" t="s">
        <v>782</v>
      </c>
    </row>
    <row r="147" spans="1:6">
      <c r="A147" s="1" t="s">
        <v>940</v>
      </c>
      <c r="B147" s="1" t="s">
        <v>175</v>
      </c>
      <c r="C147" s="3">
        <v>46100</v>
      </c>
      <c r="D147" s="1" t="s">
        <v>790</v>
      </c>
      <c r="E147" s="1">
        <v>5997</v>
      </c>
      <c r="F147" s="1" t="s">
        <v>782</v>
      </c>
    </row>
    <row r="148" spans="1:6">
      <c r="A148" s="1" t="s">
        <v>941</v>
      </c>
      <c r="B148" s="1" t="s">
        <v>105</v>
      </c>
      <c r="C148" s="3">
        <v>46191</v>
      </c>
      <c r="D148" s="1" t="s">
        <v>781</v>
      </c>
      <c r="E148" s="1">
        <v>2299</v>
      </c>
      <c r="F148" s="1" t="s">
        <v>818</v>
      </c>
    </row>
    <row r="149" spans="1:6">
      <c r="A149" s="1" t="s">
        <v>942</v>
      </c>
      <c r="B149" s="1" t="s">
        <v>752</v>
      </c>
      <c r="C149" s="3">
        <v>46185</v>
      </c>
      <c r="D149" s="1" t="s">
        <v>788</v>
      </c>
      <c r="E149" s="1">
        <v>2799</v>
      </c>
      <c r="F149" s="1" t="s">
        <v>782</v>
      </c>
    </row>
    <row r="150" spans="1:6">
      <c r="A150" s="1" t="s">
        <v>943</v>
      </c>
      <c r="B150" s="1" t="s">
        <v>534</v>
      </c>
      <c r="C150" s="3">
        <v>46068</v>
      </c>
      <c r="D150" s="1" t="s">
        <v>790</v>
      </c>
      <c r="E150" s="1">
        <v>4598</v>
      </c>
      <c r="F150" s="1" t="s">
        <v>782</v>
      </c>
    </row>
    <row r="151" spans="1:6">
      <c r="A151" s="1" t="s">
        <v>944</v>
      </c>
      <c r="B151" s="1" t="s">
        <v>267</v>
      </c>
      <c r="C151" s="3">
        <v>46120</v>
      </c>
      <c r="D151" s="1" t="s">
        <v>784</v>
      </c>
      <c r="E151" s="1">
        <v>3998</v>
      </c>
      <c r="F151" s="1" t="s">
        <v>782</v>
      </c>
    </row>
    <row r="152" spans="1:6">
      <c r="A152" s="1" t="s">
        <v>945</v>
      </c>
      <c r="B152" s="1" t="s">
        <v>399</v>
      </c>
      <c r="C152" s="3">
        <v>46162</v>
      </c>
      <c r="D152" s="1" t="s">
        <v>828</v>
      </c>
      <c r="E152" s="1">
        <v>1798</v>
      </c>
      <c r="F152" s="1" t="s">
        <v>782</v>
      </c>
    </row>
    <row r="153" spans="1:6">
      <c r="A153" s="1" t="s">
        <v>946</v>
      </c>
      <c r="B153" s="1" t="s">
        <v>947</v>
      </c>
      <c r="C153" s="3">
        <v>46151</v>
      </c>
      <c r="D153" s="1" t="s">
        <v>788</v>
      </c>
      <c r="E153" s="1">
        <v>2499</v>
      </c>
      <c r="F153" s="1" t="s">
        <v>782</v>
      </c>
    </row>
    <row r="154" spans="1:6">
      <c r="A154" s="1" t="s">
        <v>948</v>
      </c>
      <c r="B154" s="1" t="s">
        <v>657</v>
      </c>
      <c r="C154" s="3">
        <v>46172</v>
      </c>
      <c r="D154" s="1" t="s">
        <v>790</v>
      </c>
      <c r="E154" s="1">
        <v>1598</v>
      </c>
      <c r="F154" s="1" t="s">
        <v>782</v>
      </c>
    </row>
    <row r="155" spans="1:6">
      <c r="A155" s="1" t="s">
        <v>949</v>
      </c>
      <c r="B155" s="1" t="s">
        <v>360</v>
      </c>
      <c r="C155" s="3">
        <v>46180</v>
      </c>
      <c r="D155" s="1" t="s">
        <v>833</v>
      </c>
      <c r="E155" s="1">
        <v>1299</v>
      </c>
      <c r="F155" s="1" t="s">
        <v>782</v>
      </c>
    </row>
    <row r="156" spans="1:6">
      <c r="A156" s="1" t="s">
        <v>950</v>
      </c>
      <c r="B156" s="1" t="s">
        <v>254</v>
      </c>
      <c r="C156" s="3">
        <v>46203</v>
      </c>
      <c r="D156" s="1" t="s">
        <v>784</v>
      </c>
      <c r="E156" s="1">
        <v>5598</v>
      </c>
      <c r="F156" s="1" t="s">
        <v>782</v>
      </c>
    </row>
    <row r="157" spans="1:6">
      <c r="A157" s="1" t="s">
        <v>951</v>
      </c>
      <c r="B157" s="1" t="s">
        <v>604</v>
      </c>
      <c r="C157" s="3">
        <v>46184</v>
      </c>
      <c r="D157" s="1" t="s">
        <v>781</v>
      </c>
      <c r="E157" s="1">
        <v>3299</v>
      </c>
      <c r="F157" s="1" t="s">
        <v>782</v>
      </c>
    </row>
    <row r="158" spans="1:6">
      <c r="A158" s="1" t="s">
        <v>952</v>
      </c>
      <c r="B158" s="1" t="s">
        <v>135</v>
      </c>
      <c r="C158" s="3">
        <v>46060</v>
      </c>
      <c r="D158" s="1" t="s">
        <v>786</v>
      </c>
      <c r="E158" s="1">
        <v>599</v>
      </c>
      <c r="F158" s="1" t="s">
        <v>782</v>
      </c>
    </row>
    <row r="159" spans="1:6">
      <c r="A159" s="1" t="s">
        <v>953</v>
      </c>
      <c r="B159" s="1" t="s">
        <v>690</v>
      </c>
      <c r="C159" s="3">
        <v>46189</v>
      </c>
      <c r="D159" s="1" t="s">
        <v>790</v>
      </c>
      <c r="E159" s="1">
        <v>1999</v>
      </c>
      <c r="F159" s="1" t="s">
        <v>782</v>
      </c>
    </row>
    <row r="160" spans="1:6">
      <c r="A160" s="1" t="s">
        <v>954</v>
      </c>
      <c r="B160" s="1" t="s">
        <v>685</v>
      </c>
      <c r="C160" s="3">
        <v>46114</v>
      </c>
      <c r="D160" s="1" t="s">
        <v>955</v>
      </c>
      <c r="E160" s="1">
        <v>1999</v>
      </c>
      <c r="F160" s="1" t="s">
        <v>782</v>
      </c>
    </row>
    <row r="161" spans="1:6">
      <c r="A161" s="1" t="s">
        <v>956</v>
      </c>
      <c r="B161" s="1" t="s">
        <v>649</v>
      </c>
      <c r="C161" s="3">
        <v>46043</v>
      </c>
      <c r="D161" s="1" t="s">
        <v>786</v>
      </c>
      <c r="E161" s="1">
        <v>1299</v>
      </c>
      <c r="F161" s="1" t="s">
        <v>782</v>
      </c>
    </row>
    <row r="162" spans="1:6">
      <c r="A162" s="1" t="s">
        <v>957</v>
      </c>
      <c r="B162" s="1" t="s">
        <v>663</v>
      </c>
      <c r="C162" s="3">
        <v>46063</v>
      </c>
      <c r="D162" s="1" t="s">
        <v>784</v>
      </c>
      <c r="E162" s="1">
        <v>1599</v>
      </c>
      <c r="F162" s="1" t="s">
        <v>782</v>
      </c>
    </row>
    <row r="163" spans="1:6">
      <c r="A163" s="1" t="s">
        <v>958</v>
      </c>
      <c r="B163" s="1" t="s">
        <v>213</v>
      </c>
      <c r="C163" s="3">
        <v>46024</v>
      </c>
      <c r="D163" s="1" t="s">
        <v>790</v>
      </c>
      <c r="E163" s="1">
        <v>1599</v>
      </c>
      <c r="F163" s="1" t="s">
        <v>813</v>
      </c>
    </row>
    <row r="164" spans="1:6">
      <c r="A164" s="1" t="s">
        <v>959</v>
      </c>
      <c r="B164" s="1" t="s">
        <v>297</v>
      </c>
      <c r="C164" s="3">
        <v>46109</v>
      </c>
      <c r="D164" s="1" t="s">
        <v>786</v>
      </c>
      <c r="E164" s="1">
        <v>3598</v>
      </c>
      <c r="F164" s="1" t="s">
        <v>782</v>
      </c>
    </row>
    <row r="165" spans="1:6">
      <c r="A165" s="1" t="s">
        <v>960</v>
      </c>
      <c r="B165" s="1" t="s">
        <v>287</v>
      </c>
      <c r="C165" s="3">
        <v>46173</v>
      </c>
      <c r="D165" s="1" t="s">
        <v>790</v>
      </c>
      <c r="E165" s="1">
        <v>1999</v>
      </c>
      <c r="F165" s="1" t="s">
        <v>961</v>
      </c>
    </row>
    <row r="166" spans="1:6">
      <c r="A166" s="1" t="s">
        <v>962</v>
      </c>
      <c r="B166" s="1" t="s">
        <v>517</v>
      </c>
      <c r="C166" s="3">
        <v>46082</v>
      </c>
      <c r="D166" s="1" t="s">
        <v>784</v>
      </c>
      <c r="E166" s="1">
        <v>1499</v>
      </c>
      <c r="F166" s="1" t="s">
        <v>782</v>
      </c>
    </row>
    <row r="167" spans="1:6">
      <c r="A167" s="1" t="s">
        <v>963</v>
      </c>
      <c r="B167" s="1" t="s">
        <v>506</v>
      </c>
      <c r="C167" s="3">
        <v>46076</v>
      </c>
      <c r="D167" s="1" t="s">
        <v>790</v>
      </c>
      <c r="E167" s="1">
        <v>1598</v>
      </c>
      <c r="F167" s="1" t="s">
        <v>782</v>
      </c>
    </row>
    <row r="168" spans="1:6">
      <c r="A168" s="1" t="s">
        <v>964</v>
      </c>
      <c r="B168" s="1" t="s">
        <v>686</v>
      </c>
      <c r="C168" s="3">
        <v>46039</v>
      </c>
      <c r="D168" s="1" t="s">
        <v>788</v>
      </c>
      <c r="E168" s="1">
        <v>2499</v>
      </c>
      <c r="F168" s="1" t="s">
        <v>782</v>
      </c>
    </row>
    <row r="169" spans="1:6">
      <c r="A169" s="1" t="s">
        <v>965</v>
      </c>
      <c r="B169" s="1" t="s">
        <v>522</v>
      </c>
      <c r="C169" s="3">
        <v>46198</v>
      </c>
      <c r="D169" s="1" t="s">
        <v>788</v>
      </c>
      <c r="E169" s="1">
        <v>2799</v>
      </c>
      <c r="F169" s="1" t="s">
        <v>782</v>
      </c>
    </row>
    <row r="170" spans="1:6">
      <c r="A170" s="1" t="s">
        <v>966</v>
      </c>
      <c r="B170" s="1" t="s">
        <v>476</v>
      </c>
      <c r="C170" s="3">
        <v>46177</v>
      </c>
      <c r="D170" s="1" t="s">
        <v>955</v>
      </c>
      <c r="E170" s="1">
        <v>2299</v>
      </c>
      <c r="F170" s="1" t="s">
        <v>792</v>
      </c>
    </row>
    <row r="171" spans="1:6">
      <c r="A171" s="1" t="s">
        <v>967</v>
      </c>
      <c r="B171" s="1" t="s">
        <v>564</v>
      </c>
      <c r="C171" s="3">
        <v>46035</v>
      </c>
      <c r="D171" s="1" t="s">
        <v>784</v>
      </c>
      <c r="E171" s="1">
        <v>1599</v>
      </c>
      <c r="F171" s="1" t="s">
        <v>782</v>
      </c>
    </row>
    <row r="172" spans="1:6">
      <c r="A172" s="1" t="s">
        <v>968</v>
      </c>
      <c r="B172" s="1" t="s">
        <v>485</v>
      </c>
      <c r="C172" s="3">
        <v>46074</v>
      </c>
      <c r="D172" s="1" t="s">
        <v>786</v>
      </c>
      <c r="E172" s="1">
        <v>10497</v>
      </c>
      <c r="F172" s="1" t="s">
        <v>782</v>
      </c>
    </row>
    <row r="173" spans="1:6">
      <c r="A173" s="1" t="s">
        <v>969</v>
      </c>
      <c r="B173" s="1" t="s">
        <v>688</v>
      </c>
      <c r="C173" s="3">
        <v>46096</v>
      </c>
      <c r="D173" s="1" t="s">
        <v>784</v>
      </c>
      <c r="E173" s="1">
        <v>2398</v>
      </c>
      <c r="F173" s="1" t="s">
        <v>782</v>
      </c>
    </row>
    <row r="174" spans="1:6">
      <c r="A174" s="1" t="s">
        <v>970</v>
      </c>
      <c r="B174" s="1" t="s">
        <v>622</v>
      </c>
      <c r="C174" s="3">
        <v>46089</v>
      </c>
      <c r="D174" s="1" t="s">
        <v>790</v>
      </c>
      <c r="E174" s="1">
        <v>5598</v>
      </c>
      <c r="F174" s="1" t="s">
        <v>782</v>
      </c>
    </row>
    <row r="175" spans="1:6">
      <c r="A175" s="1" t="s">
        <v>971</v>
      </c>
      <c r="B175" s="1" t="s">
        <v>608</v>
      </c>
      <c r="C175" s="3">
        <v>46163</v>
      </c>
      <c r="D175" s="1" t="s">
        <v>790</v>
      </c>
      <c r="E175" s="1">
        <v>799</v>
      </c>
      <c r="F175" s="1" t="s">
        <v>782</v>
      </c>
    </row>
    <row r="176" spans="1:6">
      <c r="A176" s="1" t="s">
        <v>972</v>
      </c>
      <c r="B176" s="1" t="s">
        <v>718</v>
      </c>
      <c r="C176" s="3">
        <v>46042</v>
      </c>
      <c r="D176" s="1" t="s">
        <v>788</v>
      </c>
      <c r="E176" s="1">
        <v>4998</v>
      </c>
      <c r="F176" s="1" t="s">
        <v>782</v>
      </c>
    </row>
    <row r="177" spans="1:6">
      <c r="A177" s="1" t="s">
        <v>973</v>
      </c>
      <c r="B177" s="1" t="s">
        <v>648</v>
      </c>
      <c r="C177" s="3">
        <v>46119</v>
      </c>
      <c r="D177" s="1" t="s">
        <v>781</v>
      </c>
      <c r="E177" s="1">
        <v>1499</v>
      </c>
      <c r="F177" s="1" t="s">
        <v>782</v>
      </c>
    </row>
    <row r="178" spans="1:6">
      <c r="A178" s="1" t="s">
        <v>974</v>
      </c>
      <c r="B178" s="1" t="s">
        <v>129</v>
      </c>
      <c r="C178" s="3">
        <v>46112</v>
      </c>
      <c r="D178" s="1" t="s">
        <v>781</v>
      </c>
      <c r="E178" s="1">
        <v>1799</v>
      </c>
      <c r="F178" s="1" t="s">
        <v>782</v>
      </c>
    </row>
    <row r="179" spans="1:6">
      <c r="A179" s="1" t="s">
        <v>975</v>
      </c>
      <c r="B179" s="1" t="s">
        <v>740</v>
      </c>
      <c r="C179" s="3">
        <v>46150</v>
      </c>
      <c r="D179" s="1" t="s">
        <v>833</v>
      </c>
      <c r="E179" s="1">
        <v>5997</v>
      </c>
      <c r="F179" s="1" t="s">
        <v>782</v>
      </c>
    </row>
    <row r="180" spans="1:6">
      <c r="A180" s="1" t="s">
        <v>976</v>
      </c>
      <c r="B180" s="1" t="s">
        <v>693</v>
      </c>
      <c r="C180" s="3">
        <v>46120</v>
      </c>
      <c r="D180" s="1" t="s">
        <v>822</v>
      </c>
      <c r="E180" s="1">
        <v>999</v>
      </c>
      <c r="F180" s="1" t="s">
        <v>782</v>
      </c>
    </row>
    <row r="181" spans="1:6">
      <c r="A181" s="1" t="s">
        <v>977</v>
      </c>
      <c r="B181" s="1" t="s">
        <v>556</v>
      </c>
      <c r="C181" s="3">
        <v>46134</v>
      </c>
      <c r="D181" s="1" t="s">
        <v>788</v>
      </c>
      <c r="E181" s="1">
        <v>1998</v>
      </c>
      <c r="F181" s="1" t="s">
        <v>872</v>
      </c>
    </row>
    <row r="182" spans="1:6">
      <c r="A182" s="1" t="s">
        <v>978</v>
      </c>
      <c r="B182" s="1" t="s">
        <v>274</v>
      </c>
      <c r="C182" s="3">
        <v>46120</v>
      </c>
      <c r="D182" s="1" t="s">
        <v>822</v>
      </c>
      <c r="E182" s="1">
        <v>3998</v>
      </c>
      <c r="F182" s="1" t="s">
        <v>782</v>
      </c>
    </row>
    <row r="183" spans="1:6">
      <c r="A183" s="1" t="s">
        <v>979</v>
      </c>
      <c r="B183" s="1" t="s">
        <v>689</v>
      </c>
      <c r="C183" s="1" t="s">
        <v>980</v>
      </c>
      <c r="D183" s="1" t="s">
        <v>868</v>
      </c>
      <c r="E183" s="1">
        <v>5598</v>
      </c>
      <c r="F183" s="1" t="s">
        <v>813</v>
      </c>
    </row>
    <row r="184" spans="1:6">
      <c r="A184" s="1" t="s">
        <v>981</v>
      </c>
      <c r="B184" s="1" t="s">
        <v>735</v>
      </c>
      <c r="C184" s="3">
        <v>46033</v>
      </c>
      <c r="D184" s="1" t="s">
        <v>781</v>
      </c>
      <c r="E184" s="1">
        <v>1598</v>
      </c>
      <c r="F184" s="1" t="s">
        <v>813</v>
      </c>
    </row>
    <row r="185" spans="1:6">
      <c r="A185" s="1" t="s">
        <v>982</v>
      </c>
      <c r="B185" s="1" t="s">
        <v>621</v>
      </c>
      <c r="C185" s="3">
        <v>46096</v>
      </c>
      <c r="D185" s="1" t="s">
        <v>790</v>
      </c>
      <c r="E185" s="1">
        <v>999</v>
      </c>
      <c r="F185" s="1" t="s">
        <v>792</v>
      </c>
    </row>
    <row r="186" spans="1:6">
      <c r="A186" s="1" t="s">
        <v>983</v>
      </c>
      <c r="B186" s="1" t="s">
        <v>132</v>
      </c>
      <c r="C186" s="3">
        <v>46125</v>
      </c>
      <c r="D186" s="1" t="s">
        <v>784</v>
      </c>
      <c r="E186" s="1">
        <v>1499</v>
      </c>
      <c r="F186" s="1" t="s">
        <v>813</v>
      </c>
    </row>
    <row r="187" spans="1:6">
      <c r="A187" s="1" t="s">
        <v>984</v>
      </c>
      <c r="B187" s="1" t="s">
        <v>673</v>
      </c>
      <c r="C187" s="3">
        <v>46135</v>
      </c>
      <c r="D187" s="1" t="s">
        <v>786</v>
      </c>
      <c r="E187" s="1">
        <v>1598</v>
      </c>
      <c r="F187" s="1" t="s">
        <v>782</v>
      </c>
    </row>
    <row r="188" spans="1:6">
      <c r="A188" s="1" t="s">
        <v>985</v>
      </c>
      <c r="B188" s="1" t="s">
        <v>744</v>
      </c>
      <c r="C188" s="3">
        <v>46155</v>
      </c>
      <c r="D188" s="1" t="s">
        <v>790</v>
      </c>
      <c r="E188" s="1">
        <v>3299</v>
      </c>
      <c r="F188" s="1" t="s">
        <v>782</v>
      </c>
    </row>
    <row r="189" spans="1:6">
      <c r="A189" s="1" t="s">
        <v>986</v>
      </c>
      <c r="B189" s="1" t="s">
        <v>743</v>
      </c>
      <c r="C189" s="3">
        <v>46108</v>
      </c>
      <c r="D189" s="1" t="s">
        <v>790</v>
      </c>
      <c r="E189" s="1">
        <v>10497</v>
      </c>
      <c r="F189" s="1" t="s">
        <v>782</v>
      </c>
    </row>
    <row r="190" spans="1:6">
      <c r="A190" s="1" t="s">
        <v>987</v>
      </c>
      <c r="B190" s="1" t="s">
        <v>284</v>
      </c>
      <c r="C190" s="3">
        <v>46041</v>
      </c>
      <c r="D190" s="1" t="s">
        <v>955</v>
      </c>
      <c r="E190" s="1">
        <v>2199</v>
      </c>
      <c r="F190" s="1" t="s">
        <v>782</v>
      </c>
    </row>
    <row r="191" spans="1:6">
      <c r="A191" s="1" t="s">
        <v>988</v>
      </c>
      <c r="B191" s="1" t="s">
        <v>163</v>
      </c>
      <c r="C191" s="3">
        <v>46071</v>
      </c>
      <c r="D191" s="1" t="s">
        <v>786</v>
      </c>
      <c r="E191" s="1">
        <v>2299</v>
      </c>
      <c r="F191" s="1" t="s">
        <v>782</v>
      </c>
    </row>
    <row r="192" spans="1:6">
      <c r="A192" s="1" t="s">
        <v>989</v>
      </c>
      <c r="B192" s="1" t="s">
        <v>273</v>
      </c>
      <c r="C192" s="3">
        <v>46104</v>
      </c>
      <c r="D192" s="1" t="s">
        <v>786</v>
      </c>
      <c r="E192" s="1">
        <v>799</v>
      </c>
      <c r="F192" s="1" t="s">
        <v>782</v>
      </c>
    </row>
    <row r="193" spans="1:6">
      <c r="A193" s="1" t="s">
        <v>990</v>
      </c>
      <c r="B193" s="1" t="s">
        <v>682</v>
      </c>
      <c r="C193" s="3">
        <v>46147</v>
      </c>
      <c r="D193" s="1" t="s">
        <v>786</v>
      </c>
      <c r="E193" s="1">
        <v>1999</v>
      </c>
      <c r="F193" s="1" t="s">
        <v>782</v>
      </c>
    </row>
    <row r="194" spans="1:6">
      <c r="A194" s="1" t="s">
        <v>991</v>
      </c>
      <c r="B194" s="1" t="s">
        <v>702</v>
      </c>
      <c r="C194" s="3">
        <v>46125</v>
      </c>
      <c r="D194" s="1" t="s">
        <v>786</v>
      </c>
      <c r="E194" s="1">
        <v>3999</v>
      </c>
      <c r="F194" s="1" t="s">
        <v>782</v>
      </c>
    </row>
    <row r="195" spans="1:6">
      <c r="A195" s="1" t="s">
        <v>992</v>
      </c>
      <c r="B195" s="1" t="s">
        <v>434</v>
      </c>
      <c r="C195" s="3">
        <v>46097</v>
      </c>
      <c r="D195" s="1" t="s">
        <v>784</v>
      </c>
      <c r="E195" s="1">
        <v>2199</v>
      </c>
      <c r="F195" s="1" t="s">
        <v>782</v>
      </c>
    </row>
    <row r="196" spans="1:6">
      <c r="A196" s="1" t="s">
        <v>993</v>
      </c>
      <c r="B196" s="1" t="s">
        <v>596</v>
      </c>
      <c r="C196" s="3">
        <v>46116</v>
      </c>
      <c r="D196" s="1" t="s">
        <v>790</v>
      </c>
      <c r="E196" s="1">
        <v>7998</v>
      </c>
      <c r="F196" s="1" t="s">
        <v>782</v>
      </c>
    </row>
    <row r="197" spans="1:6">
      <c r="A197" s="1" t="s">
        <v>994</v>
      </c>
      <c r="B197" s="1" t="s">
        <v>770</v>
      </c>
      <c r="C197" s="3">
        <v>46166</v>
      </c>
      <c r="D197" s="1" t="s">
        <v>790</v>
      </c>
      <c r="E197" s="1">
        <v>2199</v>
      </c>
      <c r="F197" s="1" t="s">
        <v>782</v>
      </c>
    </row>
    <row r="198" spans="1:6">
      <c r="A198" s="1" t="s">
        <v>995</v>
      </c>
      <c r="B198" s="1" t="s">
        <v>449</v>
      </c>
      <c r="C198" s="3">
        <v>46145</v>
      </c>
      <c r="D198" s="1" t="s">
        <v>788</v>
      </c>
      <c r="E198" s="1">
        <v>1598</v>
      </c>
      <c r="F198" s="1" t="s">
        <v>782</v>
      </c>
    </row>
    <row r="199" spans="1:6">
      <c r="A199" s="1" t="s">
        <v>996</v>
      </c>
      <c r="B199" s="1" t="s">
        <v>659</v>
      </c>
      <c r="C199" s="3">
        <v>46170</v>
      </c>
      <c r="D199" s="1" t="s">
        <v>784</v>
      </c>
      <c r="E199" s="1">
        <v>4598</v>
      </c>
      <c r="F199" s="1" t="s">
        <v>782</v>
      </c>
    </row>
    <row r="200" spans="1:6">
      <c r="A200" s="1" t="s">
        <v>997</v>
      </c>
      <c r="B200" s="1" t="s">
        <v>279</v>
      </c>
      <c r="C200" s="3">
        <v>46099</v>
      </c>
      <c r="D200" s="1" t="s">
        <v>790</v>
      </c>
      <c r="E200" s="1">
        <v>3598</v>
      </c>
      <c r="F200" s="1" t="s">
        <v>782</v>
      </c>
    </row>
    <row r="201" spans="1:6">
      <c r="A201" s="1" t="s">
        <v>998</v>
      </c>
      <c r="B201" s="1" t="s">
        <v>437</v>
      </c>
      <c r="C201" s="3">
        <v>46178</v>
      </c>
      <c r="D201" s="1" t="s">
        <v>790</v>
      </c>
      <c r="E201" s="1">
        <v>1799</v>
      </c>
      <c r="F201" s="1" t="s">
        <v>792</v>
      </c>
    </row>
    <row r="202" spans="1:6">
      <c r="A202" s="1" t="s">
        <v>999</v>
      </c>
      <c r="B202" s="1" t="s">
        <v>323</v>
      </c>
      <c r="C202" s="3">
        <v>46193</v>
      </c>
      <c r="D202" s="1" t="s">
        <v>790</v>
      </c>
      <c r="E202" s="1">
        <v>3499</v>
      </c>
      <c r="F202" s="1" t="s">
        <v>782</v>
      </c>
    </row>
    <row r="203" spans="1:6">
      <c r="A203" s="1" t="s">
        <v>1000</v>
      </c>
      <c r="B203" s="1" t="s">
        <v>675</v>
      </c>
      <c r="C203" s="3">
        <v>46134</v>
      </c>
      <c r="D203" s="1" t="s">
        <v>784</v>
      </c>
      <c r="E203" s="1">
        <v>1598</v>
      </c>
      <c r="F203" s="1" t="s">
        <v>813</v>
      </c>
    </row>
    <row r="204" spans="1:6">
      <c r="A204" s="1" t="s">
        <v>1001</v>
      </c>
      <c r="B204" s="1" t="s">
        <v>723</v>
      </c>
      <c r="C204" s="3">
        <v>46084</v>
      </c>
      <c r="D204" s="1" t="s">
        <v>790</v>
      </c>
      <c r="E204" s="1">
        <v>3999</v>
      </c>
      <c r="F204" s="1" t="s">
        <v>782</v>
      </c>
    </row>
    <row r="205" spans="1:6">
      <c r="A205" s="1" t="s">
        <v>1002</v>
      </c>
      <c r="B205" s="1" t="s">
        <v>121</v>
      </c>
      <c r="C205" s="3">
        <v>46180</v>
      </c>
      <c r="D205" s="1" t="s">
        <v>868</v>
      </c>
      <c r="E205" s="1">
        <v>2199</v>
      </c>
      <c r="F205" s="1" t="s">
        <v>782</v>
      </c>
    </row>
    <row r="206" spans="1:6">
      <c r="A206" s="1" t="s">
        <v>1003</v>
      </c>
      <c r="B206" s="1" t="s">
        <v>605</v>
      </c>
      <c r="C206" s="3">
        <v>46041</v>
      </c>
      <c r="D206" s="1" t="s">
        <v>781</v>
      </c>
      <c r="E206" s="1">
        <v>3998</v>
      </c>
      <c r="F206" s="1" t="s">
        <v>782</v>
      </c>
    </row>
    <row r="207" spans="1:6">
      <c r="A207" s="1" t="s">
        <v>1004</v>
      </c>
      <c r="B207" s="1" t="s">
        <v>493</v>
      </c>
      <c r="C207" s="3">
        <v>46108</v>
      </c>
      <c r="D207" s="1" t="s">
        <v>790</v>
      </c>
      <c r="E207" s="1">
        <v>799</v>
      </c>
      <c r="F207" s="1" t="s">
        <v>782</v>
      </c>
    </row>
    <row r="208" spans="1:6">
      <c r="A208" s="1" t="s">
        <v>1005</v>
      </c>
      <c r="B208" s="1" t="s">
        <v>615</v>
      </c>
      <c r="C208" s="3">
        <v>46086</v>
      </c>
      <c r="D208" s="1" t="s">
        <v>781</v>
      </c>
      <c r="E208" s="1">
        <v>499</v>
      </c>
      <c r="F208" s="1" t="s">
        <v>782</v>
      </c>
    </row>
    <row r="209" spans="1:6">
      <c r="A209" s="1" t="s">
        <v>1006</v>
      </c>
      <c r="B209" s="1" t="s">
        <v>536</v>
      </c>
      <c r="C209" s="3">
        <v>46143</v>
      </c>
      <c r="D209" s="1" t="s">
        <v>781</v>
      </c>
      <c r="E209" s="1">
        <v>2299</v>
      </c>
      <c r="F209" s="1" t="s">
        <v>782</v>
      </c>
    </row>
    <row r="210" spans="1:6">
      <c r="A210" s="1" t="s">
        <v>1007</v>
      </c>
      <c r="B210" s="1" t="s">
        <v>538</v>
      </c>
      <c r="C210" s="3">
        <v>46153</v>
      </c>
      <c r="D210" s="1" t="s">
        <v>868</v>
      </c>
      <c r="E210" s="1">
        <v>2299</v>
      </c>
      <c r="F210" s="1" t="s">
        <v>782</v>
      </c>
    </row>
    <row r="211" spans="1:6">
      <c r="A211" s="1" t="s">
        <v>1008</v>
      </c>
      <c r="B211" s="1" t="s">
        <v>729</v>
      </c>
      <c r="C211" s="3">
        <v>46042</v>
      </c>
      <c r="D211" s="1" t="s">
        <v>955</v>
      </c>
      <c r="E211" s="1">
        <v>1999</v>
      </c>
      <c r="F211" s="1" t="s">
        <v>792</v>
      </c>
    </row>
    <row r="212" spans="1:6">
      <c r="A212" s="1" t="s">
        <v>1009</v>
      </c>
      <c r="B212" s="1" t="s">
        <v>186</v>
      </c>
      <c r="C212" s="3">
        <v>46188</v>
      </c>
      <c r="D212" s="1" t="s">
        <v>786</v>
      </c>
      <c r="E212" s="1">
        <v>899</v>
      </c>
      <c r="F212" s="1" t="s">
        <v>782</v>
      </c>
    </row>
    <row r="213" spans="1:6">
      <c r="A213" s="1" t="s">
        <v>1010</v>
      </c>
      <c r="B213" s="1" t="s">
        <v>474</v>
      </c>
      <c r="C213" s="3">
        <v>46177</v>
      </c>
      <c r="D213" s="1" t="s">
        <v>786</v>
      </c>
      <c r="E213" s="1">
        <v>4998</v>
      </c>
      <c r="F213" s="1" t="s">
        <v>782</v>
      </c>
    </row>
    <row r="214" spans="1:6">
      <c r="A214" s="1" t="s">
        <v>1011</v>
      </c>
      <c r="B214" s="1" t="s">
        <v>674</v>
      </c>
      <c r="C214" s="1" t="s">
        <v>1012</v>
      </c>
      <c r="D214" s="1" t="s">
        <v>833</v>
      </c>
      <c r="E214" s="1">
        <v>4797</v>
      </c>
      <c r="F214" s="1" t="s">
        <v>813</v>
      </c>
    </row>
    <row r="215" spans="1:6">
      <c r="A215" s="1" t="s">
        <v>1013</v>
      </c>
      <c r="B215" s="1" t="s">
        <v>327</v>
      </c>
      <c r="C215" s="3">
        <v>46173</v>
      </c>
      <c r="D215" s="1" t="s">
        <v>781</v>
      </c>
      <c r="E215" s="1">
        <v>3998</v>
      </c>
      <c r="F215" s="1" t="s">
        <v>782</v>
      </c>
    </row>
    <row r="216" spans="1:6">
      <c r="A216" s="1" t="s">
        <v>1014</v>
      </c>
      <c r="B216" s="1" t="s">
        <v>734</v>
      </c>
      <c r="C216" s="3">
        <v>46182</v>
      </c>
      <c r="D216" s="1" t="s">
        <v>857</v>
      </c>
      <c r="E216" s="1">
        <v>4598</v>
      </c>
      <c r="F216" s="1" t="s">
        <v>782</v>
      </c>
    </row>
    <row r="217" spans="1:6">
      <c r="A217" s="1" t="s">
        <v>1015</v>
      </c>
      <c r="B217" s="1" t="s">
        <v>760</v>
      </c>
      <c r="C217" s="3">
        <v>46067</v>
      </c>
      <c r="D217" s="1" t="s">
        <v>786</v>
      </c>
      <c r="E217" s="1">
        <v>1998</v>
      </c>
      <c r="F217" s="1" t="s">
        <v>782</v>
      </c>
    </row>
    <row r="218" spans="1:6">
      <c r="A218" s="1" t="s">
        <v>1016</v>
      </c>
      <c r="B218" s="1" t="s">
        <v>455</v>
      </c>
      <c r="C218" s="3">
        <v>46201</v>
      </c>
      <c r="D218" s="1" t="s">
        <v>788</v>
      </c>
      <c r="E218" s="1">
        <v>899</v>
      </c>
      <c r="F218" s="1" t="s">
        <v>782</v>
      </c>
    </row>
    <row r="219" spans="1:6">
      <c r="A219" s="1" t="s">
        <v>1017</v>
      </c>
      <c r="B219" s="1" t="s">
        <v>86</v>
      </c>
      <c r="C219" s="3">
        <v>46160</v>
      </c>
      <c r="D219" s="1" t="s">
        <v>828</v>
      </c>
      <c r="E219" s="1">
        <v>3499</v>
      </c>
      <c r="F219" s="1" t="s">
        <v>782</v>
      </c>
    </row>
    <row r="220" spans="1:6">
      <c r="A220" s="1" t="s">
        <v>1018</v>
      </c>
      <c r="B220" s="1" t="s">
        <v>603</v>
      </c>
      <c r="C220" s="3">
        <v>46199</v>
      </c>
      <c r="D220" s="1" t="s">
        <v>784</v>
      </c>
      <c r="E220" s="1">
        <v>1999</v>
      </c>
      <c r="F220" s="1" t="s">
        <v>872</v>
      </c>
    </row>
    <row r="221" spans="1:6">
      <c r="A221" s="1" t="s">
        <v>1019</v>
      </c>
      <c r="B221" s="1" t="s">
        <v>489</v>
      </c>
      <c r="C221" s="3">
        <v>46097</v>
      </c>
      <c r="D221" s="1" t="s">
        <v>784</v>
      </c>
      <c r="E221" s="1">
        <v>2497</v>
      </c>
      <c r="F221" s="1" t="s">
        <v>782</v>
      </c>
    </row>
    <row r="222" spans="1:6">
      <c r="A222" s="1" t="s">
        <v>1020</v>
      </c>
      <c r="B222" s="1" t="s">
        <v>569</v>
      </c>
      <c r="C222" s="3">
        <v>46141</v>
      </c>
      <c r="D222" s="1" t="s">
        <v>788</v>
      </c>
      <c r="E222" s="1">
        <v>1299</v>
      </c>
      <c r="F222" s="1" t="s">
        <v>782</v>
      </c>
    </row>
    <row r="223" spans="1:6">
      <c r="A223" s="1" t="s">
        <v>1021</v>
      </c>
      <c r="B223" s="1" t="s">
        <v>666</v>
      </c>
      <c r="C223" s="3">
        <v>46192</v>
      </c>
      <c r="D223" s="1" t="s">
        <v>781</v>
      </c>
      <c r="E223" s="1">
        <v>2499</v>
      </c>
      <c r="F223" s="1" t="s">
        <v>782</v>
      </c>
    </row>
    <row r="224" spans="1:6">
      <c r="A224" s="1" t="s">
        <v>1022</v>
      </c>
      <c r="B224" s="1" t="s">
        <v>377</v>
      </c>
      <c r="C224" s="3">
        <v>46200</v>
      </c>
      <c r="D224" s="1" t="s">
        <v>784</v>
      </c>
      <c r="E224" s="1">
        <v>2997</v>
      </c>
      <c r="F224" s="1" t="s">
        <v>782</v>
      </c>
    </row>
    <row r="225" spans="1:6">
      <c r="A225" s="1" t="s">
        <v>1023</v>
      </c>
      <c r="B225" s="1" t="s">
        <v>218</v>
      </c>
      <c r="C225" s="3">
        <v>46104</v>
      </c>
      <c r="D225" s="1" t="s">
        <v>784</v>
      </c>
      <c r="E225" s="1">
        <v>2499</v>
      </c>
      <c r="F225" s="1" t="s">
        <v>782</v>
      </c>
    </row>
    <row r="226" spans="1:6">
      <c r="A226" s="1" t="s">
        <v>1024</v>
      </c>
      <c r="B226" s="1" t="s">
        <v>270</v>
      </c>
      <c r="C226" s="3">
        <v>46180</v>
      </c>
      <c r="D226" s="1" t="s">
        <v>786</v>
      </c>
      <c r="E226" s="1">
        <v>2299</v>
      </c>
      <c r="F226" s="1" t="s">
        <v>782</v>
      </c>
    </row>
    <row r="227" spans="1:6">
      <c r="A227" s="1" t="s">
        <v>1025</v>
      </c>
      <c r="B227" s="1" t="s">
        <v>192</v>
      </c>
      <c r="C227" s="3">
        <v>46113</v>
      </c>
      <c r="D227" s="1" t="s">
        <v>781</v>
      </c>
      <c r="E227" s="1">
        <v>2499</v>
      </c>
      <c r="F227" s="1" t="s">
        <v>782</v>
      </c>
    </row>
    <row r="228" spans="1:6">
      <c r="A228" s="1" t="s">
        <v>1026</v>
      </c>
      <c r="B228" s="1" t="s">
        <v>712</v>
      </c>
      <c r="C228" s="3">
        <v>46096</v>
      </c>
      <c r="D228" s="1" t="s">
        <v>788</v>
      </c>
      <c r="E228" s="1">
        <v>499</v>
      </c>
      <c r="F228" s="1" t="s">
        <v>782</v>
      </c>
    </row>
    <row r="229" spans="1:6">
      <c r="A229" s="1" t="s">
        <v>1027</v>
      </c>
      <c r="B229" s="1" t="s">
        <v>637</v>
      </c>
      <c r="C229" s="3">
        <v>46096</v>
      </c>
      <c r="D229" s="1" t="s">
        <v>788</v>
      </c>
      <c r="E229" s="1">
        <v>599</v>
      </c>
      <c r="F229" s="1" t="s">
        <v>782</v>
      </c>
    </row>
    <row r="230" spans="1:6">
      <c r="A230" s="1" t="s">
        <v>1028</v>
      </c>
      <c r="B230" s="1" t="s">
        <v>710</v>
      </c>
      <c r="C230" s="3">
        <v>46161</v>
      </c>
      <c r="D230" s="1" t="s">
        <v>784</v>
      </c>
      <c r="E230" s="1">
        <v>1099</v>
      </c>
      <c r="F230" s="1" t="s">
        <v>782</v>
      </c>
    </row>
    <row r="231" spans="1:6">
      <c r="A231" s="1" t="s">
        <v>1029</v>
      </c>
      <c r="B231" s="1" t="s">
        <v>429</v>
      </c>
      <c r="C231" s="3">
        <v>46071</v>
      </c>
      <c r="D231" s="1" t="s">
        <v>781</v>
      </c>
      <c r="E231" s="1">
        <v>3499</v>
      </c>
      <c r="F231" s="1" t="s">
        <v>782</v>
      </c>
    </row>
    <row r="232" spans="1:6">
      <c r="A232" s="1" t="s">
        <v>1030</v>
      </c>
      <c r="B232" s="1" t="s">
        <v>403</v>
      </c>
      <c r="C232" s="3">
        <v>46106</v>
      </c>
      <c r="D232" s="1" t="s">
        <v>788</v>
      </c>
      <c r="E232" s="1">
        <v>1899</v>
      </c>
      <c r="F232" s="1" t="s">
        <v>782</v>
      </c>
    </row>
    <row r="233" spans="1:6">
      <c r="A233" s="1" t="s">
        <v>1031</v>
      </c>
      <c r="B233" s="1" t="s">
        <v>700</v>
      </c>
      <c r="C233" s="3">
        <v>46040</v>
      </c>
      <c r="D233" s="1" t="s">
        <v>786</v>
      </c>
      <c r="E233" s="1">
        <v>1998</v>
      </c>
      <c r="F233" s="1" t="s">
        <v>782</v>
      </c>
    </row>
    <row r="234" spans="1:6">
      <c r="A234" s="1" t="s">
        <v>1032</v>
      </c>
      <c r="B234" s="1" t="s">
        <v>634</v>
      </c>
      <c r="C234" s="3">
        <v>46078</v>
      </c>
      <c r="D234" s="1" t="s">
        <v>786</v>
      </c>
      <c r="E234" s="1">
        <v>1999</v>
      </c>
      <c r="F234" s="1" t="s">
        <v>782</v>
      </c>
    </row>
    <row r="235" spans="1:6">
      <c r="A235" s="1" t="s">
        <v>1033</v>
      </c>
      <c r="B235" s="1" t="s">
        <v>374</v>
      </c>
      <c r="C235" s="3">
        <v>46035</v>
      </c>
      <c r="D235" s="1" t="s">
        <v>788</v>
      </c>
      <c r="E235" s="1">
        <v>1299</v>
      </c>
      <c r="F235" s="1" t="s">
        <v>782</v>
      </c>
    </row>
    <row r="236" spans="1:6">
      <c r="A236" s="1" t="s">
        <v>1034</v>
      </c>
      <c r="B236" s="1" t="s">
        <v>167</v>
      </c>
      <c r="C236" s="3">
        <v>46178</v>
      </c>
      <c r="D236" s="1" t="s">
        <v>784</v>
      </c>
      <c r="E236" s="1">
        <v>1199</v>
      </c>
      <c r="F236" s="1" t="s">
        <v>782</v>
      </c>
    </row>
    <row r="237" spans="1:6">
      <c r="A237" s="1" t="s">
        <v>1035</v>
      </c>
      <c r="B237" s="1" t="s">
        <v>631</v>
      </c>
      <c r="C237" s="3">
        <v>46164</v>
      </c>
      <c r="D237" s="1" t="s">
        <v>781</v>
      </c>
      <c r="E237" s="1">
        <v>3299</v>
      </c>
      <c r="F237" s="1" t="s">
        <v>782</v>
      </c>
    </row>
    <row r="238" spans="1:6">
      <c r="A238" s="1" t="s">
        <v>1036</v>
      </c>
      <c r="B238" s="1" t="s">
        <v>440</v>
      </c>
      <c r="C238" s="3">
        <v>46167</v>
      </c>
      <c r="D238" s="1" t="s">
        <v>788</v>
      </c>
      <c r="E238" s="1">
        <v>2199</v>
      </c>
      <c r="F238" s="1" t="s">
        <v>782</v>
      </c>
    </row>
    <row r="239" spans="1:6">
      <c r="A239" s="1" t="s">
        <v>1037</v>
      </c>
      <c r="B239" s="1" t="s">
        <v>441</v>
      </c>
      <c r="C239" s="3">
        <v>46055</v>
      </c>
      <c r="D239" s="1" t="s">
        <v>788</v>
      </c>
      <c r="E239" s="1">
        <v>2499</v>
      </c>
      <c r="F239" s="1" t="s">
        <v>782</v>
      </c>
    </row>
    <row r="240" spans="1:6">
      <c r="A240" s="1" t="s">
        <v>1038</v>
      </c>
      <c r="B240" s="1" t="s">
        <v>423</v>
      </c>
      <c r="C240" s="3">
        <v>46201</v>
      </c>
      <c r="D240" s="1" t="s">
        <v>786</v>
      </c>
      <c r="E240" s="1">
        <v>3999</v>
      </c>
      <c r="F240" s="1" t="s">
        <v>782</v>
      </c>
    </row>
    <row r="241" spans="1:6">
      <c r="A241" s="1" t="s">
        <v>1039</v>
      </c>
      <c r="B241" s="1" t="s">
        <v>355</v>
      </c>
      <c r="C241" s="3">
        <v>46047</v>
      </c>
      <c r="D241" s="1" t="s">
        <v>857</v>
      </c>
      <c r="E241" s="1">
        <v>1999</v>
      </c>
      <c r="F241" s="1" t="s">
        <v>782</v>
      </c>
    </row>
    <row r="242" spans="1:6">
      <c r="A242" s="1" t="s">
        <v>1040</v>
      </c>
      <c r="B242" s="1" t="s">
        <v>515</v>
      </c>
      <c r="C242" s="3">
        <v>46069</v>
      </c>
      <c r="D242" s="1" t="s">
        <v>833</v>
      </c>
      <c r="E242" s="1">
        <v>1599</v>
      </c>
      <c r="F242" s="1" t="s">
        <v>782</v>
      </c>
    </row>
    <row r="243" spans="1:6">
      <c r="A243" s="1" t="s">
        <v>1041</v>
      </c>
      <c r="B243" s="1" t="s">
        <v>170</v>
      </c>
      <c r="C243" s="3">
        <v>46116</v>
      </c>
      <c r="D243" s="1" t="s">
        <v>786</v>
      </c>
      <c r="E243" s="1">
        <v>1599</v>
      </c>
      <c r="F243" s="1" t="s">
        <v>782</v>
      </c>
    </row>
    <row r="244" spans="1:6">
      <c r="A244" s="1" t="s">
        <v>1042</v>
      </c>
      <c r="B244" s="1" t="s">
        <v>379</v>
      </c>
      <c r="C244" s="3">
        <v>46134</v>
      </c>
      <c r="D244" s="1" t="s">
        <v>781</v>
      </c>
      <c r="E244" s="1">
        <v>1799</v>
      </c>
      <c r="F244" s="1" t="s">
        <v>782</v>
      </c>
    </row>
    <row r="245" spans="1:6">
      <c r="A245" s="1" t="s">
        <v>1043</v>
      </c>
      <c r="B245" s="1" t="s">
        <v>611</v>
      </c>
      <c r="C245" s="3">
        <v>46058</v>
      </c>
      <c r="D245" s="1" t="s">
        <v>786</v>
      </c>
      <c r="E245" s="1">
        <v>499</v>
      </c>
      <c r="F245" s="1" t="s">
        <v>782</v>
      </c>
    </row>
    <row r="246" spans="1:6">
      <c r="A246" s="1" t="s">
        <v>1044</v>
      </c>
      <c r="B246" s="1" t="s">
        <v>672</v>
      </c>
      <c r="C246" s="3">
        <v>46148</v>
      </c>
      <c r="D246" s="1" t="s">
        <v>790</v>
      </c>
      <c r="E246" s="1">
        <v>1999</v>
      </c>
      <c r="F246" s="1" t="s">
        <v>818</v>
      </c>
    </row>
    <row r="247" spans="1:6">
      <c r="A247" s="1" t="s">
        <v>1045</v>
      </c>
      <c r="B247" s="1" t="s">
        <v>356</v>
      </c>
      <c r="C247" s="3">
        <v>46055</v>
      </c>
      <c r="D247" s="1" t="s">
        <v>868</v>
      </c>
      <c r="E247" s="1">
        <v>2499</v>
      </c>
      <c r="F247" s="1" t="s">
        <v>782</v>
      </c>
    </row>
    <row r="248" spans="1:6">
      <c r="A248" s="1" t="s">
        <v>1046</v>
      </c>
      <c r="B248" s="1" t="s">
        <v>732</v>
      </c>
      <c r="C248" s="3">
        <v>46043</v>
      </c>
      <c r="D248" s="1" t="s">
        <v>784</v>
      </c>
      <c r="E248" s="1">
        <v>1999</v>
      </c>
      <c r="F248" s="1" t="s">
        <v>782</v>
      </c>
    </row>
    <row r="249" spans="1:6">
      <c r="A249" s="1" t="s">
        <v>1047</v>
      </c>
      <c r="B249" s="1" t="s">
        <v>178</v>
      </c>
      <c r="C249" s="3">
        <v>46109</v>
      </c>
      <c r="D249" s="1" t="s">
        <v>786</v>
      </c>
      <c r="E249" s="1">
        <v>2799</v>
      </c>
      <c r="F249" s="1" t="s">
        <v>782</v>
      </c>
    </row>
    <row r="250" spans="1:6">
      <c r="A250" s="1" t="s">
        <v>1048</v>
      </c>
      <c r="B250" s="1" t="s">
        <v>364</v>
      </c>
      <c r="C250" s="3">
        <v>46026</v>
      </c>
      <c r="D250" s="1" t="s">
        <v>784</v>
      </c>
      <c r="E250" s="1">
        <v>3999</v>
      </c>
      <c r="F250" s="1" t="s">
        <v>782</v>
      </c>
    </row>
    <row r="251" spans="1:6">
      <c r="A251" s="1" t="s">
        <v>1037</v>
      </c>
      <c r="B251" s="1" t="s">
        <v>441</v>
      </c>
      <c r="C251" s="3">
        <v>46055</v>
      </c>
      <c r="D251" s="1" t="s">
        <v>788</v>
      </c>
      <c r="E251" s="1">
        <v>2499</v>
      </c>
      <c r="F251" s="1" t="s">
        <v>782</v>
      </c>
    </row>
    <row r="252" spans="1:6">
      <c r="A252" s="1" t="s">
        <v>1049</v>
      </c>
      <c r="B252" s="1" t="s">
        <v>301</v>
      </c>
      <c r="C252" s="3">
        <v>46179</v>
      </c>
      <c r="D252" s="1" t="s">
        <v>786</v>
      </c>
      <c r="E252" s="1">
        <v>2598</v>
      </c>
      <c r="F252" s="1" t="s">
        <v>782</v>
      </c>
    </row>
    <row r="253" spans="1:6">
      <c r="A253" s="1" t="s">
        <v>1050</v>
      </c>
      <c r="B253" s="1" t="s">
        <v>570</v>
      </c>
      <c r="C253" s="3">
        <v>46110</v>
      </c>
      <c r="D253" s="1" t="s">
        <v>799</v>
      </c>
      <c r="E253" s="1">
        <v>1499</v>
      </c>
      <c r="F253" s="1" t="s">
        <v>782</v>
      </c>
    </row>
    <row r="254" spans="1:6">
      <c r="A254" s="1" t="s">
        <v>1051</v>
      </c>
      <c r="B254" s="1" t="s">
        <v>228</v>
      </c>
      <c r="C254" s="3">
        <v>46086</v>
      </c>
      <c r="D254" s="1" t="s">
        <v>781</v>
      </c>
      <c r="E254" s="1">
        <v>1299</v>
      </c>
      <c r="F254" s="1" t="s">
        <v>782</v>
      </c>
    </row>
    <row r="255" spans="1:6">
      <c r="A255" s="1" t="s">
        <v>1052</v>
      </c>
      <c r="B255" s="1" t="s">
        <v>335</v>
      </c>
      <c r="C255" s="3">
        <v>46178</v>
      </c>
      <c r="D255" s="1" t="s">
        <v>781</v>
      </c>
      <c r="E255" s="1">
        <v>899</v>
      </c>
      <c r="F255" s="1" t="s">
        <v>782</v>
      </c>
    </row>
    <row r="256" spans="1:6">
      <c r="A256" s="1" t="s">
        <v>1053</v>
      </c>
      <c r="B256" s="1" t="s">
        <v>552</v>
      </c>
      <c r="C256" s="3">
        <v>46141</v>
      </c>
      <c r="D256" s="1" t="s">
        <v>784</v>
      </c>
      <c r="E256" s="1">
        <v>3299</v>
      </c>
      <c r="F256" s="1" t="s">
        <v>782</v>
      </c>
    </row>
    <row r="257" spans="1:6">
      <c r="A257" s="1" t="s">
        <v>1054</v>
      </c>
      <c r="B257" s="1" t="s">
        <v>479</v>
      </c>
      <c r="C257" s="3">
        <v>46083</v>
      </c>
      <c r="D257" s="1" t="s">
        <v>833</v>
      </c>
      <c r="E257" s="1">
        <v>2199</v>
      </c>
      <c r="F257" s="1" t="s">
        <v>782</v>
      </c>
    </row>
    <row r="258" spans="1:6">
      <c r="A258" s="1" t="s">
        <v>1055</v>
      </c>
      <c r="B258" s="1" t="s">
        <v>757</v>
      </c>
      <c r="C258" s="3">
        <v>46173</v>
      </c>
      <c r="D258" s="1" t="s">
        <v>784</v>
      </c>
      <c r="E258" s="1">
        <v>1799</v>
      </c>
      <c r="F258" s="1" t="s">
        <v>813</v>
      </c>
    </row>
    <row r="259" spans="1:6">
      <c r="A259" s="1" t="s">
        <v>1056</v>
      </c>
      <c r="B259" s="1" t="s">
        <v>24</v>
      </c>
      <c r="C259" s="3">
        <v>46090</v>
      </c>
      <c r="D259" s="1" t="s">
        <v>786</v>
      </c>
      <c r="E259" s="1">
        <v>1299</v>
      </c>
      <c r="F259" s="1" t="s">
        <v>782</v>
      </c>
    </row>
    <row r="260" spans="1:6">
      <c r="A260" s="1" t="s">
        <v>1057</v>
      </c>
      <c r="B260" s="1" t="s">
        <v>599</v>
      </c>
      <c r="C260" s="3">
        <v>46144</v>
      </c>
      <c r="D260" s="1" t="s">
        <v>788</v>
      </c>
      <c r="E260" s="1">
        <v>2998</v>
      </c>
      <c r="F260" s="1" t="s">
        <v>782</v>
      </c>
    </row>
    <row r="261" spans="1:6">
      <c r="A261" s="1" t="s">
        <v>1058</v>
      </c>
      <c r="B261" s="1" t="s">
        <v>707</v>
      </c>
      <c r="C261" s="3">
        <v>46199</v>
      </c>
      <c r="D261" s="1" t="s">
        <v>781</v>
      </c>
      <c r="E261" s="1">
        <v>499</v>
      </c>
      <c r="F261" s="1" t="s">
        <v>782</v>
      </c>
    </row>
    <row r="262" spans="1:6">
      <c r="A262" s="1" t="s">
        <v>1059</v>
      </c>
      <c r="B262" s="1" t="s">
        <v>695</v>
      </c>
      <c r="C262" s="3">
        <v>46107</v>
      </c>
      <c r="D262" s="1" t="s">
        <v>822</v>
      </c>
      <c r="E262" s="1">
        <v>5398</v>
      </c>
      <c r="F262" s="1" t="s">
        <v>782</v>
      </c>
    </row>
    <row r="263" spans="1:6">
      <c r="A263" s="1" t="s">
        <v>1060</v>
      </c>
      <c r="B263" s="1" t="s">
        <v>91</v>
      </c>
      <c r="C263" s="3">
        <v>46106</v>
      </c>
      <c r="D263" s="1" t="s">
        <v>788</v>
      </c>
      <c r="E263" s="1">
        <v>3598</v>
      </c>
      <c r="F263" s="1" t="s">
        <v>782</v>
      </c>
    </row>
    <row r="264" spans="1:6">
      <c r="A264" s="1" t="s">
        <v>1061</v>
      </c>
      <c r="B264" s="1" t="s">
        <v>584</v>
      </c>
      <c r="C264" s="3">
        <v>46036</v>
      </c>
      <c r="D264" s="1" t="s">
        <v>784</v>
      </c>
      <c r="E264" s="1">
        <v>799</v>
      </c>
      <c r="F264" s="1" t="s">
        <v>782</v>
      </c>
    </row>
    <row r="265" spans="1:6">
      <c r="A265" s="1" t="s">
        <v>1062</v>
      </c>
      <c r="B265" s="1" t="s">
        <v>390</v>
      </c>
      <c r="C265" s="3">
        <v>46062</v>
      </c>
      <c r="D265" s="1" t="s">
        <v>781</v>
      </c>
      <c r="E265" s="1">
        <v>499</v>
      </c>
      <c r="F265" s="1" t="s">
        <v>782</v>
      </c>
    </row>
    <row r="266" spans="1:6">
      <c r="A266" s="1" t="s">
        <v>1063</v>
      </c>
      <c r="B266" s="1" t="s">
        <v>225</v>
      </c>
      <c r="C266" s="3">
        <v>46203</v>
      </c>
      <c r="D266" s="1" t="s">
        <v>786</v>
      </c>
      <c r="E266" s="1">
        <v>1599</v>
      </c>
      <c r="F266" s="1" t="s">
        <v>782</v>
      </c>
    </row>
    <row r="267" spans="1:6">
      <c r="A267" s="1" t="s">
        <v>1064</v>
      </c>
      <c r="B267" s="1" t="s">
        <v>671</v>
      </c>
      <c r="C267" s="3">
        <v>46146</v>
      </c>
      <c r="D267" s="1" t="s">
        <v>786</v>
      </c>
      <c r="E267" s="1">
        <v>2598</v>
      </c>
      <c r="F267" s="1" t="s">
        <v>782</v>
      </c>
    </row>
    <row r="268" spans="1:6">
      <c r="A268" s="1" t="s">
        <v>1065</v>
      </c>
      <c r="B268" s="1" t="s">
        <v>765</v>
      </c>
      <c r="C268" s="3">
        <v>46170</v>
      </c>
      <c r="D268" s="1" t="s">
        <v>790</v>
      </c>
      <c r="E268" s="1">
        <v>999</v>
      </c>
      <c r="F268" s="1" t="s">
        <v>782</v>
      </c>
    </row>
    <row r="269" spans="1:6">
      <c r="A269" s="1" t="s">
        <v>1066</v>
      </c>
      <c r="B269" s="1" t="s">
        <v>709</v>
      </c>
      <c r="C269" s="3">
        <v>46198</v>
      </c>
      <c r="D269" s="1" t="s">
        <v>788</v>
      </c>
      <c r="E269" s="1">
        <v>3499</v>
      </c>
      <c r="F269" s="1" t="s">
        <v>782</v>
      </c>
    </row>
    <row r="270" spans="1:6">
      <c r="A270" s="1" t="s">
        <v>1067</v>
      </c>
      <c r="B270" s="1" t="s">
        <v>774</v>
      </c>
      <c r="C270" s="3">
        <v>46063</v>
      </c>
      <c r="D270" s="1" t="s">
        <v>788</v>
      </c>
      <c r="E270" s="1">
        <v>1999</v>
      </c>
      <c r="F270" s="1" t="s">
        <v>782</v>
      </c>
    </row>
    <row r="271" spans="1:6">
      <c r="A271" s="1" t="s">
        <v>1068</v>
      </c>
      <c r="B271" s="1" t="s">
        <v>448</v>
      </c>
      <c r="C271" s="3">
        <v>46063</v>
      </c>
      <c r="D271" s="1" t="s">
        <v>790</v>
      </c>
      <c r="E271" s="1">
        <v>2697</v>
      </c>
      <c r="F271" s="1" t="s">
        <v>782</v>
      </c>
    </row>
    <row r="272" spans="1:6">
      <c r="A272" s="1" t="s">
        <v>1069</v>
      </c>
      <c r="B272" s="1" t="s">
        <v>414</v>
      </c>
      <c r="C272" s="3">
        <v>46041</v>
      </c>
      <c r="D272" s="1" t="s">
        <v>822</v>
      </c>
      <c r="E272" s="1">
        <v>1199</v>
      </c>
      <c r="F272" s="1" t="s">
        <v>782</v>
      </c>
    </row>
    <row r="273" spans="1:6">
      <c r="A273" s="1" t="s">
        <v>1070</v>
      </c>
      <c r="B273" s="1" t="s">
        <v>668</v>
      </c>
      <c r="C273" s="3">
        <v>46028</v>
      </c>
      <c r="D273" s="1" t="s">
        <v>788</v>
      </c>
      <c r="E273" s="1">
        <v>3198</v>
      </c>
      <c r="F273" s="1" t="s">
        <v>782</v>
      </c>
    </row>
    <row r="274" spans="1:6">
      <c r="A274" s="1" t="s">
        <v>1071</v>
      </c>
      <c r="B274" s="1" t="s">
        <v>240</v>
      </c>
      <c r="C274" s="3">
        <v>46116</v>
      </c>
      <c r="D274" s="1" t="s">
        <v>784</v>
      </c>
      <c r="E274" s="1">
        <v>3299</v>
      </c>
      <c r="F274" s="1" t="s">
        <v>782</v>
      </c>
    </row>
    <row r="275" spans="1:6">
      <c r="A275" s="1" t="s">
        <v>1072</v>
      </c>
      <c r="B275" s="1" t="s">
        <v>627</v>
      </c>
      <c r="C275" s="3">
        <v>46130</v>
      </c>
      <c r="D275" s="1" t="s">
        <v>790</v>
      </c>
      <c r="E275" s="1">
        <v>5598</v>
      </c>
      <c r="F275" s="1" t="s">
        <v>782</v>
      </c>
    </row>
    <row r="276" spans="1:6">
      <c r="A276" s="1" t="s">
        <v>1073</v>
      </c>
      <c r="B276" s="1" t="s">
        <v>278</v>
      </c>
      <c r="C276" s="3">
        <v>46086</v>
      </c>
      <c r="D276" s="1" t="s">
        <v>784</v>
      </c>
      <c r="E276" s="1">
        <v>2799</v>
      </c>
      <c r="F276" s="1" t="s">
        <v>782</v>
      </c>
    </row>
    <row r="277" spans="1:6">
      <c r="A277" s="1" t="s">
        <v>1074</v>
      </c>
      <c r="B277" s="1" t="s">
        <v>145</v>
      </c>
      <c r="C277" s="3">
        <v>46048</v>
      </c>
      <c r="D277" s="1" t="s">
        <v>790</v>
      </c>
      <c r="E277" s="1">
        <v>999</v>
      </c>
      <c r="F277" s="1" t="s">
        <v>782</v>
      </c>
    </row>
    <row r="278" spans="1:6">
      <c r="A278" s="1" t="s">
        <v>1075</v>
      </c>
      <c r="B278" s="1" t="s">
        <v>203</v>
      </c>
      <c r="C278" s="3">
        <v>46190</v>
      </c>
      <c r="D278" s="1" t="s">
        <v>786</v>
      </c>
      <c r="E278" s="1">
        <v>1999</v>
      </c>
      <c r="F278" s="1" t="s">
        <v>782</v>
      </c>
    </row>
    <row r="279" spans="1:6">
      <c r="A279" s="1" t="s">
        <v>1076</v>
      </c>
      <c r="B279" s="1" t="s">
        <v>248</v>
      </c>
      <c r="C279" s="3">
        <v>46047</v>
      </c>
      <c r="D279" s="1" t="s">
        <v>799</v>
      </c>
      <c r="E279" s="1">
        <v>2299</v>
      </c>
      <c r="F279" s="1" t="s">
        <v>782</v>
      </c>
    </row>
    <row r="280" spans="1:6">
      <c r="A280" s="1" t="s">
        <v>1077</v>
      </c>
      <c r="B280" s="1" t="s">
        <v>492</v>
      </c>
      <c r="C280" s="3">
        <v>46140</v>
      </c>
      <c r="D280" s="1" t="s">
        <v>788</v>
      </c>
      <c r="E280" s="1">
        <v>2199</v>
      </c>
      <c r="F280" s="1" t="s">
        <v>782</v>
      </c>
    </row>
    <row r="281" spans="1:6">
      <c r="A281" s="1" t="s">
        <v>1078</v>
      </c>
      <c r="B281" s="1" t="s">
        <v>251</v>
      </c>
      <c r="C281" s="3">
        <v>46136</v>
      </c>
      <c r="D281" s="1" t="s">
        <v>788</v>
      </c>
      <c r="E281" s="1">
        <v>999</v>
      </c>
      <c r="F281" s="1" t="s">
        <v>782</v>
      </c>
    </row>
    <row r="282" spans="1:6">
      <c r="A282" s="1" t="s">
        <v>1079</v>
      </c>
      <c r="B282" s="1" t="s">
        <v>329</v>
      </c>
      <c r="C282" s="3">
        <v>46200</v>
      </c>
      <c r="D282" s="1" t="s">
        <v>786</v>
      </c>
      <c r="E282" s="1">
        <v>1199</v>
      </c>
      <c r="F282" s="1" t="s">
        <v>782</v>
      </c>
    </row>
    <row r="283" spans="1:6">
      <c r="A283" s="1" t="s">
        <v>1080</v>
      </c>
      <c r="B283" s="1" t="s">
        <v>616</v>
      </c>
      <c r="C283" s="3">
        <v>46113</v>
      </c>
      <c r="D283" s="1" t="s">
        <v>788</v>
      </c>
      <c r="E283" s="1">
        <v>1999</v>
      </c>
      <c r="F283" s="1" t="s">
        <v>818</v>
      </c>
    </row>
    <row r="284" spans="1:6">
      <c r="A284" s="1" t="s">
        <v>1081</v>
      </c>
      <c r="B284" s="1" t="s">
        <v>97</v>
      </c>
      <c r="C284" s="3">
        <v>46029</v>
      </c>
      <c r="D284" s="1" t="s">
        <v>788</v>
      </c>
      <c r="E284" s="1">
        <v>2799</v>
      </c>
      <c r="F284" s="1" t="s">
        <v>782</v>
      </c>
    </row>
    <row r="285" spans="1:6">
      <c r="A285" s="1" t="s">
        <v>1082</v>
      </c>
      <c r="B285" s="1" t="s">
        <v>311</v>
      </c>
      <c r="C285" s="3">
        <v>46033</v>
      </c>
      <c r="D285" s="1" t="s">
        <v>786</v>
      </c>
      <c r="E285" s="1">
        <v>1199</v>
      </c>
      <c r="F285" s="1" t="s">
        <v>782</v>
      </c>
    </row>
    <row r="286" spans="1:6">
      <c r="A286" s="1" t="s">
        <v>1083</v>
      </c>
      <c r="B286" s="1" t="s">
        <v>581</v>
      </c>
      <c r="C286" s="3">
        <v>46162</v>
      </c>
      <c r="D286" s="1" t="s">
        <v>788</v>
      </c>
      <c r="E286" s="1">
        <v>1199</v>
      </c>
      <c r="F286" s="1" t="s">
        <v>782</v>
      </c>
    </row>
    <row r="287" spans="1:6">
      <c r="A287" s="1" t="s">
        <v>1084</v>
      </c>
      <c r="B287" s="1" t="s">
        <v>243</v>
      </c>
      <c r="C287" s="3">
        <v>46184</v>
      </c>
      <c r="D287" s="1" t="s">
        <v>790</v>
      </c>
      <c r="E287" s="1">
        <v>1599</v>
      </c>
      <c r="F287" s="1" t="s">
        <v>782</v>
      </c>
    </row>
    <row r="288" spans="1:6">
      <c r="A288" s="1" t="s">
        <v>1085</v>
      </c>
      <c r="B288" s="1" t="s">
        <v>317</v>
      </c>
      <c r="C288" s="3">
        <v>46101</v>
      </c>
      <c r="D288" s="1" t="s">
        <v>781</v>
      </c>
      <c r="E288" s="1">
        <v>1799</v>
      </c>
      <c r="F288" s="1" t="s">
        <v>782</v>
      </c>
    </row>
    <row r="289" spans="1:6">
      <c r="A289" s="1" t="s">
        <v>1086</v>
      </c>
      <c r="B289" s="1" t="s">
        <v>82</v>
      </c>
      <c r="C289" s="3">
        <v>46184</v>
      </c>
      <c r="D289" s="1" t="s">
        <v>784</v>
      </c>
      <c r="E289" s="1">
        <v>1999</v>
      </c>
      <c r="F289" s="1" t="s">
        <v>782</v>
      </c>
    </row>
    <row r="290" spans="1:6">
      <c r="A290" s="1" t="s">
        <v>1087</v>
      </c>
      <c r="B290" s="1" t="s">
        <v>424</v>
      </c>
      <c r="C290" s="3">
        <v>46181</v>
      </c>
      <c r="D290" s="1" t="s">
        <v>784</v>
      </c>
      <c r="E290" s="1">
        <v>2749</v>
      </c>
      <c r="F290" s="1" t="s">
        <v>782</v>
      </c>
    </row>
    <row r="291" spans="1:6">
      <c r="A291" s="1" t="s">
        <v>1088</v>
      </c>
      <c r="B291" s="1" t="s">
        <v>650</v>
      </c>
      <c r="C291" s="3">
        <v>46087</v>
      </c>
      <c r="D291" s="1" t="s">
        <v>790</v>
      </c>
      <c r="E291" s="1">
        <v>3499</v>
      </c>
      <c r="F291" s="1" t="s">
        <v>782</v>
      </c>
    </row>
    <row r="292" spans="1:6">
      <c r="A292" s="1" t="s">
        <v>851</v>
      </c>
      <c r="B292" s="1" t="s">
        <v>362</v>
      </c>
      <c r="C292" s="3">
        <v>46196</v>
      </c>
      <c r="D292" s="1" t="s">
        <v>786</v>
      </c>
      <c r="E292" s="1">
        <v>799</v>
      </c>
      <c r="F292" s="1" t="s">
        <v>782</v>
      </c>
    </row>
    <row r="293" spans="1:6">
      <c r="A293" s="1" t="s">
        <v>1089</v>
      </c>
      <c r="B293" s="1" t="s">
        <v>606</v>
      </c>
      <c r="C293" s="3">
        <v>46139</v>
      </c>
      <c r="D293" s="1" t="s">
        <v>781</v>
      </c>
      <c r="E293" s="1">
        <v>899</v>
      </c>
      <c r="F293" s="1" t="s">
        <v>782</v>
      </c>
    </row>
    <row r="294" spans="1:6">
      <c r="A294" s="1" t="s">
        <v>1090</v>
      </c>
      <c r="B294" s="1" t="s">
        <v>717</v>
      </c>
      <c r="C294" s="3">
        <v>46133</v>
      </c>
      <c r="D294" s="1" t="s">
        <v>781</v>
      </c>
      <c r="E294" s="1">
        <v>3999</v>
      </c>
      <c r="F294" s="1" t="s">
        <v>782</v>
      </c>
    </row>
    <row r="295" spans="1:6">
      <c r="A295" s="1" t="s">
        <v>1091</v>
      </c>
      <c r="B295" s="1" t="s">
        <v>368</v>
      </c>
      <c r="C295" s="3">
        <v>46197</v>
      </c>
      <c r="D295" s="1" t="s">
        <v>781</v>
      </c>
      <c r="E295" s="1">
        <v>3998</v>
      </c>
      <c r="F295" s="1" t="s">
        <v>782</v>
      </c>
    </row>
    <row r="296" spans="1:6">
      <c r="A296" s="1" t="s">
        <v>1092</v>
      </c>
      <c r="B296" s="1" t="s">
        <v>65</v>
      </c>
      <c r="C296" s="3">
        <v>46111</v>
      </c>
      <c r="D296" s="1" t="s">
        <v>822</v>
      </c>
      <c r="E296" s="1">
        <v>2199</v>
      </c>
      <c r="F296" s="1" t="s">
        <v>782</v>
      </c>
    </row>
    <row r="297" spans="1:6">
      <c r="A297" s="1" t="s">
        <v>794</v>
      </c>
      <c r="B297" s="1" t="s">
        <v>53</v>
      </c>
      <c r="C297" s="3">
        <v>46142</v>
      </c>
      <c r="D297" s="1" t="s">
        <v>784</v>
      </c>
      <c r="E297" s="1">
        <v>3499</v>
      </c>
      <c r="F297" s="1" t="s">
        <v>782</v>
      </c>
    </row>
    <row r="298" spans="1:6">
      <c r="A298" s="1" t="s">
        <v>1093</v>
      </c>
      <c r="B298" s="1" t="s">
        <v>535</v>
      </c>
      <c r="C298" s="3">
        <v>46066</v>
      </c>
      <c r="D298" s="1" t="s">
        <v>790</v>
      </c>
      <c r="E298" s="1">
        <v>1998</v>
      </c>
      <c r="F298" s="1" t="s">
        <v>782</v>
      </c>
    </row>
    <row r="299" spans="1:6">
      <c r="A299" s="1" t="s">
        <v>1094</v>
      </c>
      <c r="B299" s="1" t="s">
        <v>763</v>
      </c>
      <c r="C299" s="3">
        <v>46075</v>
      </c>
      <c r="D299" s="1" t="s">
        <v>784</v>
      </c>
      <c r="E299" s="1">
        <v>1999</v>
      </c>
      <c r="F299" s="1" t="s">
        <v>782</v>
      </c>
    </row>
    <row r="300" spans="1:6">
      <c r="A300" s="1" t="s">
        <v>1095</v>
      </c>
      <c r="B300" s="1" t="s">
        <v>417</v>
      </c>
      <c r="C300" s="3">
        <v>46043</v>
      </c>
      <c r="D300" s="1" t="s">
        <v>784</v>
      </c>
      <c r="E300" s="1">
        <v>3499</v>
      </c>
      <c r="F300" s="1" t="s">
        <v>782</v>
      </c>
    </row>
    <row r="301" spans="1:6">
      <c r="A301" s="1" t="s">
        <v>1096</v>
      </c>
      <c r="B301" s="1" t="s">
        <v>653</v>
      </c>
      <c r="C301" s="3">
        <v>46079</v>
      </c>
      <c r="D301" s="1" t="s">
        <v>790</v>
      </c>
      <c r="E301" s="1">
        <v>2499</v>
      </c>
      <c r="F301" s="1" t="s">
        <v>792</v>
      </c>
    </row>
    <row r="302" spans="1:6">
      <c r="A302" s="1" t="s">
        <v>1097</v>
      </c>
      <c r="B302" s="1" t="s">
        <v>771</v>
      </c>
      <c r="C302" s="3">
        <v>46159</v>
      </c>
      <c r="D302" s="1" t="s">
        <v>788</v>
      </c>
      <c r="E302" s="1">
        <v>1299</v>
      </c>
      <c r="F302" s="1" t="s">
        <v>782</v>
      </c>
    </row>
    <row r="303" spans="1:6">
      <c r="A303" s="1" t="s">
        <v>1098</v>
      </c>
      <c r="B303" s="1" t="s">
        <v>696</v>
      </c>
      <c r="C303" s="3">
        <v>46081</v>
      </c>
      <c r="D303" s="1" t="s">
        <v>790</v>
      </c>
      <c r="E303" s="1">
        <v>2799</v>
      </c>
      <c r="F303" s="1" t="s">
        <v>792</v>
      </c>
    </row>
    <row r="304" spans="1:6">
      <c r="A304" s="1" t="s">
        <v>1099</v>
      </c>
      <c r="B304" s="1" t="s">
        <v>276</v>
      </c>
      <c r="C304" s="3">
        <v>46169</v>
      </c>
      <c r="D304" s="1" t="s">
        <v>790</v>
      </c>
      <c r="E304" s="1">
        <v>899</v>
      </c>
      <c r="F304" s="1" t="s">
        <v>782</v>
      </c>
    </row>
    <row r="305" spans="1:6">
      <c r="A305" s="1" t="s">
        <v>1100</v>
      </c>
      <c r="B305" s="1" t="s">
        <v>523</v>
      </c>
      <c r="C305" s="3">
        <v>46048</v>
      </c>
      <c r="D305" s="1" t="s">
        <v>786</v>
      </c>
      <c r="E305" s="1">
        <v>499</v>
      </c>
      <c r="F305" s="1" t="s">
        <v>782</v>
      </c>
    </row>
    <row r="306" spans="1:6">
      <c r="A306" s="1" t="s">
        <v>1101</v>
      </c>
      <c r="B306" s="1" t="s">
        <v>215</v>
      </c>
      <c r="C306" s="3">
        <v>46080</v>
      </c>
      <c r="D306" s="1" t="s">
        <v>955</v>
      </c>
      <c r="E306" s="1">
        <v>1998</v>
      </c>
      <c r="F306" s="1" t="s">
        <v>782</v>
      </c>
    </row>
    <row r="307" spans="1:6">
      <c r="A307" s="1" t="s">
        <v>1102</v>
      </c>
      <c r="B307" s="1" t="s">
        <v>182</v>
      </c>
      <c r="C307" s="3">
        <v>46194</v>
      </c>
      <c r="D307" s="1" t="s">
        <v>788</v>
      </c>
      <c r="E307" s="1">
        <v>499</v>
      </c>
      <c r="F307" s="1" t="s">
        <v>782</v>
      </c>
    </row>
    <row r="308" spans="1:6">
      <c r="A308" s="1" t="s">
        <v>1103</v>
      </c>
      <c r="B308" s="1" t="s">
        <v>639</v>
      </c>
      <c r="C308" s="3">
        <v>46039</v>
      </c>
      <c r="D308" s="1" t="s">
        <v>784</v>
      </c>
      <c r="E308" s="1">
        <v>2598</v>
      </c>
      <c r="F308" s="1" t="s">
        <v>782</v>
      </c>
    </row>
    <row r="309" spans="1:6">
      <c r="A309" s="1" t="s">
        <v>1104</v>
      </c>
      <c r="B309" s="1" t="s">
        <v>737</v>
      </c>
      <c r="C309" s="3">
        <v>46185</v>
      </c>
      <c r="D309" s="1" t="s">
        <v>784</v>
      </c>
      <c r="E309" s="1">
        <v>9897</v>
      </c>
      <c r="F309" s="1" t="s">
        <v>782</v>
      </c>
    </row>
    <row r="310" spans="1:6">
      <c r="A310" s="1" t="s">
        <v>1105</v>
      </c>
      <c r="B310" s="1" t="s">
        <v>724</v>
      </c>
      <c r="C310" s="3">
        <v>46114</v>
      </c>
      <c r="D310" s="1" t="s">
        <v>781</v>
      </c>
      <c r="E310" s="1">
        <v>1999</v>
      </c>
      <c r="F310" s="1" t="s">
        <v>818</v>
      </c>
    </row>
    <row r="311" spans="1:6">
      <c r="A311" s="1" t="s">
        <v>1106</v>
      </c>
      <c r="B311" s="1" t="s">
        <v>343</v>
      </c>
      <c r="C311" s="3">
        <v>46094</v>
      </c>
      <c r="D311" s="1" t="s">
        <v>788</v>
      </c>
      <c r="E311" s="1">
        <v>599</v>
      </c>
      <c r="F311" s="1" t="s">
        <v>782</v>
      </c>
    </row>
    <row r="312" spans="1:6">
      <c r="A312" s="1" t="s">
        <v>1107</v>
      </c>
      <c r="B312" s="1" t="s">
        <v>759</v>
      </c>
      <c r="C312" s="3">
        <v>46138</v>
      </c>
      <c r="D312" s="1" t="s">
        <v>833</v>
      </c>
      <c r="E312" s="1">
        <v>3499</v>
      </c>
      <c r="F312" s="1" t="s">
        <v>782</v>
      </c>
    </row>
    <row r="313" spans="1:6">
      <c r="A313" s="1" t="s">
        <v>1108</v>
      </c>
      <c r="B313" s="1" t="s">
        <v>721</v>
      </c>
      <c r="C313" s="3">
        <v>46039</v>
      </c>
      <c r="D313" s="1" t="s">
        <v>781</v>
      </c>
      <c r="E313" s="1">
        <v>1199</v>
      </c>
      <c r="F313" s="1" t="s">
        <v>813</v>
      </c>
    </row>
    <row r="314" spans="1:6">
      <c r="A314" s="1" t="s">
        <v>1109</v>
      </c>
      <c r="B314" s="1" t="s">
        <v>600</v>
      </c>
      <c r="C314" s="3">
        <v>46069</v>
      </c>
      <c r="D314" s="1" t="s">
        <v>786</v>
      </c>
      <c r="E314" s="1">
        <v>999</v>
      </c>
      <c r="F314" s="1" t="s">
        <v>782</v>
      </c>
    </row>
    <row r="315" spans="1:6">
      <c r="A315" s="1" t="s">
        <v>1110</v>
      </c>
      <c r="B315" s="1" t="s">
        <v>32</v>
      </c>
      <c r="C315" s="3">
        <v>46099</v>
      </c>
      <c r="D315" s="1" t="s">
        <v>788</v>
      </c>
      <c r="E315" s="1">
        <v>4598</v>
      </c>
      <c r="F315" s="1" t="s">
        <v>782</v>
      </c>
    </row>
    <row r="316" spans="1:6">
      <c r="A316" s="1" t="s">
        <v>1111</v>
      </c>
      <c r="B316" s="1" t="s">
        <v>466</v>
      </c>
      <c r="C316" s="3">
        <v>46068</v>
      </c>
      <c r="D316" s="1" t="s">
        <v>781</v>
      </c>
      <c r="E316" s="1">
        <v>6598</v>
      </c>
      <c r="F316" s="1" t="s">
        <v>782</v>
      </c>
    </row>
    <row r="317" spans="1:6">
      <c r="A317" s="1" t="s">
        <v>1112</v>
      </c>
      <c r="B317" s="1" t="s">
        <v>371</v>
      </c>
      <c r="C317" s="3">
        <v>46174</v>
      </c>
      <c r="D317" s="1" t="s">
        <v>828</v>
      </c>
      <c r="E317" s="1">
        <v>2499</v>
      </c>
      <c r="F317" s="1" t="s">
        <v>782</v>
      </c>
    </row>
    <row r="318" spans="1:6">
      <c r="A318" s="1" t="s">
        <v>1113</v>
      </c>
      <c r="B318" s="1" t="s">
        <v>326</v>
      </c>
      <c r="C318" s="3">
        <v>46203</v>
      </c>
      <c r="D318" s="1" t="s">
        <v>788</v>
      </c>
      <c r="E318" s="1">
        <v>4998</v>
      </c>
      <c r="F318" s="1" t="s">
        <v>782</v>
      </c>
    </row>
    <row r="319" spans="1:6">
      <c r="A319" s="1" t="s">
        <v>1114</v>
      </c>
      <c r="B319" s="1" t="s">
        <v>388</v>
      </c>
      <c r="C319" s="3">
        <v>46174</v>
      </c>
      <c r="D319" s="1" t="s">
        <v>790</v>
      </c>
      <c r="E319" s="1">
        <v>1598</v>
      </c>
      <c r="F319" s="1" t="s">
        <v>872</v>
      </c>
    </row>
    <row r="320" spans="1:6">
      <c r="A320" s="1" t="s">
        <v>1115</v>
      </c>
      <c r="B320" s="1" t="s">
        <v>667</v>
      </c>
      <c r="C320" s="3">
        <v>46035</v>
      </c>
      <c r="D320" s="1" t="s">
        <v>790</v>
      </c>
      <c r="E320" s="1">
        <v>1299</v>
      </c>
      <c r="F320" s="1" t="s">
        <v>782</v>
      </c>
    </row>
    <row r="321" spans="1:6">
      <c r="A321" s="1" t="s">
        <v>1116</v>
      </c>
      <c r="B321" s="1" t="s">
        <v>651</v>
      </c>
      <c r="C321" s="3">
        <v>46043</v>
      </c>
      <c r="D321" s="1" t="s">
        <v>833</v>
      </c>
      <c r="E321" s="1">
        <v>499</v>
      </c>
      <c r="F321" s="1" t="s">
        <v>813</v>
      </c>
    </row>
    <row r="322" spans="1:6">
      <c r="A322" s="1" t="s">
        <v>1117</v>
      </c>
      <c r="B322" s="1" t="s">
        <v>531</v>
      </c>
      <c r="C322" s="3">
        <v>46093</v>
      </c>
      <c r="D322" s="1" t="s">
        <v>799</v>
      </c>
      <c r="E322" s="1">
        <v>499</v>
      </c>
      <c r="F322" s="1" t="s">
        <v>782</v>
      </c>
    </row>
    <row r="323" spans="1:6">
      <c r="A323" s="1" t="s">
        <v>1118</v>
      </c>
      <c r="B323" s="1" t="s">
        <v>290</v>
      </c>
      <c r="C323" s="3">
        <v>46094</v>
      </c>
      <c r="D323" s="1" t="s">
        <v>781</v>
      </c>
      <c r="E323" s="1">
        <v>2299</v>
      </c>
      <c r="F323" s="1" t="s">
        <v>782</v>
      </c>
    </row>
    <row r="324" spans="1:6">
      <c r="A324" s="1" t="s">
        <v>1119</v>
      </c>
      <c r="B324" s="1" t="s">
        <v>171</v>
      </c>
      <c r="C324" s="3">
        <v>46202</v>
      </c>
      <c r="D324" s="1" t="s">
        <v>788</v>
      </c>
      <c r="E324" s="1">
        <v>3499</v>
      </c>
      <c r="F324" s="1" t="s">
        <v>782</v>
      </c>
    </row>
    <row r="325" spans="1:6">
      <c r="A325" s="1" t="s">
        <v>1120</v>
      </c>
      <c r="B325" s="1" t="s">
        <v>154</v>
      </c>
      <c r="C325" s="3">
        <v>46111</v>
      </c>
      <c r="D325" s="1" t="s">
        <v>784</v>
      </c>
      <c r="E325" s="1">
        <v>2398</v>
      </c>
      <c r="F325" s="1" t="s">
        <v>782</v>
      </c>
    </row>
    <row r="326" spans="1:6">
      <c r="A326" s="1" t="s">
        <v>1121</v>
      </c>
      <c r="B326" s="1" t="s">
        <v>699</v>
      </c>
      <c r="C326" s="3">
        <v>46097</v>
      </c>
      <c r="D326" s="1" t="s">
        <v>781</v>
      </c>
      <c r="E326" s="1">
        <v>6597</v>
      </c>
      <c r="F326" s="1" t="s">
        <v>782</v>
      </c>
    </row>
    <row r="327" spans="1:6">
      <c r="A327" s="1" t="s">
        <v>1122</v>
      </c>
      <c r="B327" s="1" t="s">
        <v>546</v>
      </c>
      <c r="C327" s="3">
        <v>46045</v>
      </c>
      <c r="D327" s="1" t="s">
        <v>781</v>
      </c>
      <c r="E327" s="1">
        <v>2398</v>
      </c>
      <c r="F327" s="1" t="s">
        <v>782</v>
      </c>
    </row>
    <row r="328" spans="1:6">
      <c r="A328" s="1" t="s">
        <v>1123</v>
      </c>
      <c r="B328" s="1" t="s">
        <v>587</v>
      </c>
      <c r="C328" s="3">
        <v>46131</v>
      </c>
      <c r="D328" s="1" t="s">
        <v>784</v>
      </c>
      <c r="E328" s="1">
        <v>4598</v>
      </c>
      <c r="F328" s="1" t="s">
        <v>782</v>
      </c>
    </row>
    <row r="329" spans="1:6">
      <c r="A329" s="1" t="s">
        <v>1124</v>
      </c>
      <c r="B329" s="1" t="s">
        <v>519</v>
      </c>
      <c r="C329" s="3">
        <v>46062</v>
      </c>
      <c r="D329" s="1" t="s">
        <v>781</v>
      </c>
      <c r="E329" s="1">
        <v>3198</v>
      </c>
      <c r="F329" s="1" t="s">
        <v>782</v>
      </c>
    </row>
    <row r="330" spans="1:6">
      <c r="A330" s="1" t="s">
        <v>1125</v>
      </c>
      <c r="B330" s="1" t="s">
        <v>341</v>
      </c>
      <c r="C330" s="3">
        <v>46188</v>
      </c>
      <c r="D330" s="1" t="s">
        <v>788</v>
      </c>
      <c r="E330" s="1">
        <v>1799</v>
      </c>
      <c r="F330" s="1" t="s">
        <v>782</v>
      </c>
    </row>
    <row r="331" spans="1:6">
      <c r="A331" s="1" t="s">
        <v>1126</v>
      </c>
      <c r="B331" s="1" t="s">
        <v>525</v>
      </c>
      <c r="C331" s="3">
        <v>46195</v>
      </c>
      <c r="D331" s="1" t="s">
        <v>790</v>
      </c>
      <c r="E331" s="1">
        <v>2299</v>
      </c>
      <c r="F331" s="1" t="s">
        <v>782</v>
      </c>
    </row>
    <row r="332" spans="1:6">
      <c r="A332" s="1" t="s">
        <v>1127</v>
      </c>
      <c r="B332" s="1" t="s">
        <v>393</v>
      </c>
      <c r="C332" s="3">
        <v>46044</v>
      </c>
      <c r="D332" s="1" t="s">
        <v>790</v>
      </c>
      <c r="E332" s="1">
        <v>899</v>
      </c>
      <c r="F332" s="1" t="s">
        <v>782</v>
      </c>
    </row>
    <row r="333" spans="1:6">
      <c r="A333" s="1" t="s">
        <v>1128</v>
      </c>
      <c r="B333" s="1" t="s">
        <v>576</v>
      </c>
      <c r="C333" s="3">
        <v>46063</v>
      </c>
      <c r="D333" s="1" t="s">
        <v>955</v>
      </c>
      <c r="E333" s="1">
        <v>6998</v>
      </c>
      <c r="F333" s="1" t="s">
        <v>782</v>
      </c>
    </row>
    <row r="334" spans="1:6">
      <c r="A334" s="1" t="s">
        <v>1129</v>
      </c>
      <c r="B334" s="1" t="s">
        <v>620</v>
      </c>
      <c r="C334" s="3">
        <v>46191</v>
      </c>
      <c r="D334" s="1" t="s">
        <v>790</v>
      </c>
      <c r="E334" s="1">
        <v>3198</v>
      </c>
      <c r="F334" s="1" t="s">
        <v>782</v>
      </c>
    </row>
    <row r="335" spans="1:6">
      <c r="A335" s="1" t="s">
        <v>1130</v>
      </c>
      <c r="B335" s="1" t="s">
        <v>421</v>
      </c>
      <c r="C335" s="3">
        <v>46032</v>
      </c>
      <c r="D335" s="1" t="s">
        <v>868</v>
      </c>
      <c r="E335" s="1">
        <v>899</v>
      </c>
      <c r="F335" s="1" t="s">
        <v>792</v>
      </c>
    </row>
    <row r="336" spans="1:6">
      <c r="A336" s="1" t="s">
        <v>1131</v>
      </c>
      <c r="B336" s="1" t="s">
        <v>365</v>
      </c>
      <c r="C336" s="3">
        <v>46061</v>
      </c>
      <c r="D336" s="1" t="s">
        <v>833</v>
      </c>
      <c r="E336" s="1">
        <v>1199</v>
      </c>
      <c r="F336" s="1" t="s">
        <v>818</v>
      </c>
    </row>
    <row r="337" spans="1:6">
      <c r="A337" s="1" t="s">
        <v>1132</v>
      </c>
      <c r="B337" s="1" t="s">
        <v>748</v>
      </c>
      <c r="C337" s="3">
        <v>46129</v>
      </c>
      <c r="D337" s="1" t="s">
        <v>788</v>
      </c>
      <c r="E337" s="1">
        <v>899</v>
      </c>
      <c r="F337" s="1" t="s">
        <v>782</v>
      </c>
    </row>
    <row r="338" spans="1:6">
      <c r="A338" s="1" t="s">
        <v>1133</v>
      </c>
      <c r="B338" s="1" t="s">
        <v>658</v>
      </c>
      <c r="C338" s="3">
        <v>46086</v>
      </c>
      <c r="D338" s="1" t="s">
        <v>786</v>
      </c>
      <c r="E338" s="1">
        <v>1999</v>
      </c>
      <c r="F338" s="1" t="s">
        <v>872</v>
      </c>
    </row>
    <row r="339" spans="1:6">
      <c r="A339" s="1" t="s">
        <v>1134</v>
      </c>
      <c r="B339" s="1" t="s">
        <v>609</v>
      </c>
      <c r="C339" s="3">
        <v>46155</v>
      </c>
      <c r="D339" s="1" t="s">
        <v>788</v>
      </c>
      <c r="E339" s="1">
        <v>1999</v>
      </c>
      <c r="F339" s="1" t="s">
        <v>782</v>
      </c>
    </row>
    <row r="340" spans="1:6">
      <c r="A340" s="1" t="s">
        <v>1135</v>
      </c>
      <c r="B340" s="1" t="s">
        <v>257</v>
      </c>
      <c r="C340" s="3">
        <v>46028</v>
      </c>
      <c r="D340" s="1" t="s">
        <v>790</v>
      </c>
      <c r="E340" s="1">
        <v>1499</v>
      </c>
      <c r="F340" s="1" t="s">
        <v>782</v>
      </c>
    </row>
    <row r="341" spans="1:6">
      <c r="A341" s="1" t="s">
        <v>1136</v>
      </c>
      <c r="B341" s="1" t="s">
        <v>572</v>
      </c>
      <c r="C341" s="3">
        <v>46087</v>
      </c>
      <c r="D341" s="1" t="s">
        <v>781</v>
      </c>
      <c r="E341" s="1">
        <v>2398</v>
      </c>
      <c r="F341" s="1" t="s">
        <v>813</v>
      </c>
    </row>
    <row r="342" spans="1:6">
      <c r="A342" s="1" t="s">
        <v>1137</v>
      </c>
      <c r="B342" s="1" t="s">
        <v>567</v>
      </c>
      <c r="C342" s="3">
        <v>46138</v>
      </c>
      <c r="D342" s="1" t="s">
        <v>786</v>
      </c>
      <c r="E342" s="1">
        <v>2799</v>
      </c>
      <c r="F342" s="1" t="s">
        <v>872</v>
      </c>
    </row>
    <row r="343" spans="1:6">
      <c r="A343" s="1" t="s">
        <v>1138</v>
      </c>
      <c r="B343" s="1" t="s">
        <v>540</v>
      </c>
      <c r="C343" s="3">
        <v>46198</v>
      </c>
      <c r="D343" s="1" t="s">
        <v>788</v>
      </c>
      <c r="E343" s="1">
        <v>1599</v>
      </c>
      <c r="F343" s="1" t="s">
        <v>782</v>
      </c>
    </row>
    <row r="344" spans="1:6">
      <c r="A344" s="1" t="s">
        <v>1139</v>
      </c>
      <c r="B344" s="1" t="s">
        <v>70</v>
      </c>
      <c r="C344" s="3">
        <v>46045</v>
      </c>
      <c r="D344" s="1" t="s">
        <v>788</v>
      </c>
      <c r="E344" s="1">
        <v>2299</v>
      </c>
      <c r="F344" s="1" t="s">
        <v>782</v>
      </c>
    </row>
    <row r="345" spans="1:6">
      <c r="A345" s="1" t="s">
        <v>1140</v>
      </c>
      <c r="B345" s="1" t="s">
        <v>664</v>
      </c>
      <c r="C345" s="3">
        <v>46044</v>
      </c>
      <c r="D345" s="1" t="s">
        <v>786</v>
      </c>
      <c r="E345" s="1">
        <v>499</v>
      </c>
      <c r="F345" s="1" t="s">
        <v>782</v>
      </c>
    </row>
    <row r="346" spans="1:6">
      <c r="A346" s="1" t="s">
        <v>1141</v>
      </c>
      <c r="B346" s="1" t="s">
        <v>439</v>
      </c>
      <c r="C346" s="3">
        <v>46144</v>
      </c>
      <c r="D346" s="1" t="s">
        <v>788</v>
      </c>
      <c r="E346" s="1">
        <v>2199</v>
      </c>
      <c r="F346" s="1" t="s">
        <v>782</v>
      </c>
    </row>
    <row r="347" spans="1:6">
      <c r="A347" s="1" t="s">
        <v>1142</v>
      </c>
      <c r="B347" s="1" t="s">
        <v>563</v>
      </c>
      <c r="C347" s="3">
        <v>46169</v>
      </c>
      <c r="D347" s="1" t="s">
        <v>784</v>
      </c>
      <c r="E347" s="1">
        <v>998</v>
      </c>
      <c r="F347" s="1" t="s">
        <v>782</v>
      </c>
    </row>
    <row r="348" spans="1:6">
      <c r="A348" s="1" t="s">
        <v>1143</v>
      </c>
      <c r="B348" s="1" t="s">
        <v>142</v>
      </c>
      <c r="C348" s="3">
        <v>46086</v>
      </c>
      <c r="D348" s="1" t="s">
        <v>822</v>
      </c>
      <c r="E348" s="1">
        <v>4497</v>
      </c>
      <c r="F348" s="1" t="s">
        <v>782</v>
      </c>
    </row>
    <row r="349" spans="1:6">
      <c r="A349" s="1" t="s">
        <v>1144</v>
      </c>
      <c r="B349" s="1" t="s">
        <v>147</v>
      </c>
      <c r="C349" s="3">
        <v>46074</v>
      </c>
      <c r="D349" s="1" t="s">
        <v>799</v>
      </c>
      <c r="E349" s="1">
        <v>799</v>
      </c>
      <c r="F349" s="1" t="s">
        <v>782</v>
      </c>
    </row>
    <row r="350" spans="1:6">
      <c r="A350" s="1" t="s">
        <v>1145</v>
      </c>
      <c r="B350" s="1" t="s">
        <v>559</v>
      </c>
      <c r="C350" s="3">
        <v>46031</v>
      </c>
      <c r="D350" s="1" t="s">
        <v>784</v>
      </c>
      <c r="E350" s="1">
        <v>6998</v>
      </c>
      <c r="F350" s="1" t="s">
        <v>782</v>
      </c>
    </row>
    <row r="351" spans="1:6">
      <c r="A351" s="1" t="s">
        <v>1146</v>
      </c>
      <c r="B351" s="1" t="s">
        <v>697</v>
      </c>
      <c r="C351" s="3">
        <v>46056</v>
      </c>
      <c r="D351" s="1" t="s">
        <v>786</v>
      </c>
      <c r="E351" s="1">
        <v>1598</v>
      </c>
      <c r="F351" s="1" t="s">
        <v>782</v>
      </c>
    </row>
    <row r="352" spans="1:6">
      <c r="A352" s="1" t="s">
        <v>1147</v>
      </c>
      <c r="B352" s="1" t="s">
        <v>509</v>
      </c>
      <c r="C352" s="3">
        <v>46039</v>
      </c>
      <c r="D352" s="1" t="s">
        <v>790</v>
      </c>
      <c r="E352" s="1">
        <v>1199</v>
      </c>
      <c r="F352" s="1" t="s">
        <v>782</v>
      </c>
    </row>
    <row r="353" spans="1:6">
      <c r="A353" s="1" t="s">
        <v>1148</v>
      </c>
      <c r="B353" s="1" t="s">
        <v>553</v>
      </c>
      <c r="C353" s="3">
        <v>46114</v>
      </c>
      <c r="D353" s="1" t="s">
        <v>786</v>
      </c>
      <c r="E353" s="1">
        <v>499</v>
      </c>
      <c r="F353" s="1" t="s">
        <v>782</v>
      </c>
    </row>
    <row r="354" spans="1:6">
      <c r="A354" s="1" t="s">
        <v>1149</v>
      </c>
      <c r="B354" s="1" t="s">
        <v>518</v>
      </c>
      <c r="C354" s="3">
        <v>46057</v>
      </c>
      <c r="D354" s="1" t="s">
        <v>828</v>
      </c>
      <c r="E354" s="1">
        <v>4598</v>
      </c>
      <c r="F354" s="1" t="s">
        <v>782</v>
      </c>
    </row>
    <row r="355" spans="1:6">
      <c r="A355" s="1" t="s">
        <v>1150</v>
      </c>
      <c r="B355" s="1" t="s">
        <v>738</v>
      </c>
      <c r="C355" s="3">
        <v>46135</v>
      </c>
      <c r="D355" s="1" t="s">
        <v>784</v>
      </c>
      <c r="E355" s="1">
        <v>1599</v>
      </c>
      <c r="F355" s="1" t="s">
        <v>782</v>
      </c>
    </row>
    <row r="356" spans="1:6">
      <c r="A356" s="1" t="s">
        <v>1151</v>
      </c>
      <c r="B356" s="1" t="s">
        <v>741</v>
      </c>
      <c r="C356" s="3">
        <v>46054</v>
      </c>
      <c r="D356" s="1" t="s">
        <v>788</v>
      </c>
      <c r="E356" s="1">
        <v>1598</v>
      </c>
      <c r="F356" s="1" t="s">
        <v>782</v>
      </c>
    </row>
    <row r="357" spans="1:6">
      <c r="A357" s="1" t="s">
        <v>1152</v>
      </c>
      <c r="B357" s="1" t="s">
        <v>602</v>
      </c>
      <c r="C357" s="3">
        <v>46195</v>
      </c>
      <c r="D357" s="1" t="s">
        <v>857</v>
      </c>
      <c r="E357" s="1">
        <v>3299</v>
      </c>
      <c r="F357" s="1" t="s">
        <v>872</v>
      </c>
    </row>
    <row r="358" spans="1:6">
      <c r="A358" s="1" t="s">
        <v>1153</v>
      </c>
      <c r="B358" s="1" t="s">
        <v>209</v>
      </c>
      <c r="C358" s="1" t="s">
        <v>1154</v>
      </c>
      <c r="D358" s="1" t="s">
        <v>786</v>
      </c>
      <c r="E358" s="1">
        <v>499</v>
      </c>
      <c r="F358" s="1" t="s">
        <v>782</v>
      </c>
    </row>
    <row r="359" spans="1:6">
      <c r="A359" s="1" t="s">
        <v>1155</v>
      </c>
      <c r="B359" s="1" t="s">
        <v>549</v>
      </c>
      <c r="C359" s="3">
        <v>46160</v>
      </c>
      <c r="D359" s="1" t="s">
        <v>788</v>
      </c>
      <c r="E359" s="1">
        <v>599</v>
      </c>
      <c r="F359" s="1" t="s">
        <v>782</v>
      </c>
    </row>
    <row r="360" spans="1:6">
      <c r="A360" s="1" t="s">
        <v>1156</v>
      </c>
      <c r="B360" s="1" t="s">
        <v>396</v>
      </c>
      <c r="C360" s="3">
        <v>46192</v>
      </c>
      <c r="D360" s="1" t="s">
        <v>781</v>
      </c>
      <c r="E360" s="1">
        <v>3999</v>
      </c>
      <c r="F360" s="1" t="s">
        <v>782</v>
      </c>
    </row>
    <row r="361" spans="1:6">
      <c r="A361" s="1" t="s">
        <v>1157</v>
      </c>
      <c r="B361" s="1" t="s">
        <v>446</v>
      </c>
      <c r="C361" s="3">
        <v>46060</v>
      </c>
      <c r="D361" s="1" t="s">
        <v>788</v>
      </c>
      <c r="E361" s="1">
        <v>899</v>
      </c>
      <c r="F361" s="1" t="s">
        <v>782</v>
      </c>
    </row>
    <row r="362" spans="1:6">
      <c r="A362" s="1" t="s">
        <v>1158</v>
      </c>
      <c r="B362" s="1" t="s">
        <v>410</v>
      </c>
      <c r="C362" s="3">
        <v>46080</v>
      </c>
      <c r="D362" s="1" t="s">
        <v>788</v>
      </c>
      <c r="E362" s="1">
        <v>2199</v>
      </c>
      <c r="F362" s="1" t="s">
        <v>782</v>
      </c>
    </row>
    <row r="363" spans="1:6">
      <c r="A363" s="1" t="s">
        <v>1159</v>
      </c>
      <c r="B363" s="1" t="s">
        <v>407</v>
      </c>
      <c r="C363" s="3">
        <v>46111</v>
      </c>
      <c r="D363" s="1" t="s">
        <v>790</v>
      </c>
      <c r="E363" s="1">
        <v>499</v>
      </c>
      <c r="F363" s="1" t="s">
        <v>818</v>
      </c>
    </row>
    <row r="364" spans="1:6">
      <c r="A364" s="1" t="s">
        <v>1160</v>
      </c>
      <c r="B364" s="1" t="s">
        <v>188</v>
      </c>
      <c r="C364" s="1" t="s">
        <v>1161</v>
      </c>
      <c r="D364" s="1" t="s">
        <v>781</v>
      </c>
      <c r="E364" s="1">
        <v>3499</v>
      </c>
      <c r="F364" s="1" t="s">
        <v>782</v>
      </c>
    </row>
    <row r="365" spans="1:6">
      <c r="A365" s="1" t="s">
        <v>1162</v>
      </c>
      <c r="B365" s="1" t="s">
        <v>630</v>
      </c>
      <c r="C365" s="3">
        <v>46181</v>
      </c>
      <c r="D365" s="1" t="s">
        <v>784</v>
      </c>
      <c r="E365" s="1">
        <v>799</v>
      </c>
      <c r="F365" s="1" t="s">
        <v>782</v>
      </c>
    </row>
    <row r="366" spans="1:6">
      <c r="A366" s="1" t="s">
        <v>1163</v>
      </c>
      <c r="B366" s="1" t="s">
        <v>636</v>
      </c>
      <c r="C366" s="3">
        <v>46127</v>
      </c>
      <c r="D366" s="1" t="s">
        <v>790</v>
      </c>
      <c r="E366" s="1">
        <v>2299</v>
      </c>
      <c r="F366" s="1" t="s">
        <v>792</v>
      </c>
    </row>
    <row r="367" spans="1:6">
      <c r="A367" s="1" t="s">
        <v>1164</v>
      </c>
      <c r="B367" s="1" t="s">
        <v>730</v>
      </c>
      <c r="C367" s="3">
        <v>46187</v>
      </c>
      <c r="D367" s="1" t="s">
        <v>833</v>
      </c>
      <c r="E367" s="1">
        <v>3499</v>
      </c>
      <c r="F367" s="1" t="s">
        <v>782</v>
      </c>
    </row>
    <row r="368" spans="1:6">
      <c r="A368" s="1" t="s">
        <v>1165</v>
      </c>
      <c r="B368" s="1" t="s">
        <v>384</v>
      </c>
      <c r="C368" s="3">
        <v>46183</v>
      </c>
      <c r="D368" s="1" t="s">
        <v>784</v>
      </c>
      <c r="E368" s="1">
        <v>4497</v>
      </c>
      <c r="F368" s="1" t="s">
        <v>782</v>
      </c>
    </row>
    <row r="369" spans="1:6">
      <c r="A369" s="1" t="s">
        <v>1166</v>
      </c>
      <c r="B369" s="1" t="s">
        <v>726</v>
      </c>
      <c r="C369" s="3">
        <v>46174</v>
      </c>
      <c r="D369" s="1" t="s">
        <v>799</v>
      </c>
      <c r="E369" s="1">
        <v>1998</v>
      </c>
      <c r="F369" s="1" t="s">
        <v>782</v>
      </c>
    </row>
    <row r="370" spans="1:6">
      <c r="A370" s="1" t="s">
        <v>1167</v>
      </c>
      <c r="B370" s="1" t="s">
        <v>432</v>
      </c>
      <c r="C370" s="3">
        <v>46172</v>
      </c>
      <c r="D370" s="1" t="s">
        <v>784</v>
      </c>
      <c r="E370" s="1">
        <v>799</v>
      </c>
      <c r="F370" s="1" t="s">
        <v>782</v>
      </c>
    </row>
    <row r="371" spans="1:6">
      <c r="A371" s="1" t="s">
        <v>1168</v>
      </c>
      <c r="B371" s="1" t="s">
        <v>416</v>
      </c>
      <c r="C371" s="3">
        <v>46197</v>
      </c>
      <c r="D371" s="1" t="s">
        <v>799</v>
      </c>
      <c r="E371" s="1">
        <v>2299</v>
      </c>
      <c r="F371" s="1" t="s">
        <v>782</v>
      </c>
    </row>
    <row r="372" spans="1:6">
      <c r="A372" s="1" t="s">
        <v>1169</v>
      </c>
      <c r="B372" s="1" t="s">
        <v>79</v>
      </c>
      <c r="C372" s="3">
        <v>46189</v>
      </c>
      <c r="D372" s="1" t="s">
        <v>788</v>
      </c>
      <c r="E372" s="1">
        <v>1499</v>
      </c>
      <c r="F372" s="1" t="s">
        <v>782</v>
      </c>
    </row>
    <row r="373" spans="1:6">
      <c r="A373" s="1" t="s">
        <v>1170</v>
      </c>
      <c r="B373" s="1" t="s">
        <v>543</v>
      </c>
      <c r="C373" s="3">
        <v>46193</v>
      </c>
      <c r="D373" s="1" t="s">
        <v>790</v>
      </c>
      <c r="E373" s="1">
        <v>599</v>
      </c>
      <c r="F373" s="1" t="s">
        <v>872</v>
      </c>
    </row>
    <row r="374" spans="1:6">
      <c r="A374" s="1" t="s">
        <v>1171</v>
      </c>
      <c r="B374" s="1" t="s">
        <v>706</v>
      </c>
      <c r="C374" s="3">
        <v>46202</v>
      </c>
      <c r="D374" s="1" t="s">
        <v>784</v>
      </c>
      <c r="E374" s="1">
        <v>2299</v>
      </c>
      <c r="F374" s="1" t="s">
        <v>813</v>
      </c>
    </row>
    <row r="375" spans="1:6">
      <c r="A375" s="1" t="s">
        <v>1172</v>
      </c>
      <c r="B375" s="1" t="s">
        <v>1173</v>
      </c>
      <c r="C375" s="3">
        <v>46114</v>
      </c>
      <c r="D375" s="1" t="s">
        <v>790</v>
      </c>
      <c r="E375" s="1">
        <v>1299</v>
      </c>
      <c r="F375" s="1" t="s">
        <v>782</v>
      </c>
    </row>
    <row r="376" spans="1:6">
      <c r="A376" s="1" t="s">
        <v>1174</v>
      </c>
      <c r="B376" s="1" t="s">
        <v>461</v>
      </c>
      <c r="C376" s="3">
        <v>46170</v>
      </c>
      <c r="D376" s="1" t="s">
        <v>857</v>
      </c>
      <c r="E376" s="1">
        <v>1299</v>
      </c>
      <c r="F376" s="1" t="s">
        <v>782</v>
      </c>
    </row>
    <row r="377" spans="1:6">
      <c r="A377" s="1" t="s">
        <v>1175</v>
      </c>
      <c r="B377" s="1" t="s">
        <v>320</v>
      </c>
      <c r="C377" s="3">
        <v>46042</v>
      </c>
      <c r="D377" s="1" t="s">
        <v>786</v>
      </c>
      <c r="E377" s="1">
        <v>4797</v>
      </c>
      <c r="F377" s="1" t="s">
        <v>782</v>
      </c>
    </row>
    <row r="378" spans="1:6">
      <c r="A378" s="1" t="s">
        <v>1176</v>
      </c>
      <c r="B378" s="1" t="s">
        <v>495</v>
      </c>
      <c r="C378" s="3">
        <v>46188</v>
      </c>
      <c r="D378" s="1" t="s">
        <v>788</v>
      </c>
      <c r="E378" s="1">
        <v>7998</v>
      </c>
      <c r="F378" s="1" t="s">
        <v>782</v>
      </c>
    </row>
    <row r="379" spans="1:6">
      <c r="A379" s="1" t="s">
        <v>1177</v>
      </c>
      <c r="B379" s="1" t="s">
        <v>624</v>
      </c>
      <c r="C379" s="3">
        <v>46042</v>
      </c>
      <c r="D379" s="1" t="s">
        <v>788</v>
      </c>
      <c r="E379" s="1">
        <v>1598</v>
      </c>
      <c r="F379" s="1" t="s">
        <v>782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9"/>
  <sheetViews>
    <sheetView workbookViewId="0">
      <pane ySplit="1" topLeftCell="A70" activePane="bottomLeft" state="frozen"/>
      <selection pane="bottomLeft" activeCell="E77" sqref="E77"/>
    </sheetView>
  </sheetViews>
  <sheetFormatPr defaultRowHeight="15"/>
  <cols>
    <col min="1" max="2" width="14" customWidth="1"/>
    <col min="3" max="3" width="22.5703125" customWidth="1"/>
    <col min="4" max="4" width="20" customWidth="1"/>
    <col min="5" max="5" width="15.7109375" customWidth="1"/>
    <col min="6" max="6" width="28" customWidth="1"/>
  </cols>
  <sheetData>
    <row r="1" spans="1:6">
      <c r="A1" s="2" t="s">
        <v>1178</v>
      </c>
      <c r="B1" s="2" t="s">
        <v>0</v>
      </c>
      <c r="C1" s="2" t="s">
        <v>1179</v>
      </c>
      <c r="D1" s="2" t="s">
        <v>1180</v>
      </c>
      <c r="E1" s="2" t="s">
        <v>1181</v>
      </c>
      <c r="F1" s="2" t="s">
        <v>1182</v>
      </c>
    </row>
    <row r="2" spans="1:6">
      <c r="A2" s="1" t="s">
        <v>1183</v>
      </c>
      <c r="B2" s="1" t="s">
        <v>44</v>
      </c>
      <c r="C2" s="3">
        <v>46155</v>
      </c>
      <c r="D2" s="1" t="s">
        <v>1184</v>
      </c>
      <c r="E2" s="1" t="s">
        <v>1185</v>
      </c>
      <c r="F2" s="3">
        <v>46162</v>
      </c>
    </row>
    <row r="3" spans="1:6">
      <c r="A3" s="1" t="s">
        <v>1186</v>
      </c>
      <c r="B3" s="1" t="s">
        <v>343</v>
      </c>
      <c r="C3" s="3">
        <v>46116</v>
      </c>
      <c r="D3" s="1" t="s">
        <v>1184</v>
      </c>
      <c r="E3" s="1" t="s">
        <v>1185</v>
      </c>
      <c r="F3" s="3">
        <v>46121</v>
      </c>
    </row>
    <row r="4" spans="1:6">
      <c r="A4" s="1" t="s">
        <v>1187</v>
      </c>
      <c r="B4" s="1" t="s">
        <v>716</v>
      </c>
      <c r="C4" s="3">
        <v>46071</v>
      </c>
      <c r="D4" s="1" t="s">
        <v>1184</v>
      </c>
      <c r="E4" s="1" t="s">
        <v>1185</v>
      </c>
      <c r="F4" s="3">
        <v>46076</v>
      </c>
    </row>
    <row r="5" spans="1:6">
      <c r="A5" s="1" t="s">
        <v>1188</v>
      </c>
      <c r="B5" s="1" t="s">
        <v>677</v>
      </c>
      <c r="C5" s="3">
        <v>46191</v>
      </c>
      <c r="D5" s="1" t="s">
        <v>1189</v>
      </c>
      <c r="E5" s="1" t="s">
        <v>1185</v>
      </c>
      <c r="F5" s="3">
        <v>46198</v>
      </c>
    </row>
    <row r="6" spans="1:6">
      <c r="A6" s="1" t="s">
        <v>1190</v>
      </c>
      <c r="B6" s="1" t="s">
        <v>600</v>
      </c>
      <c r="C6" s="3">
        <v>46086</v>
      </c>
      <c r="D6" s="1" t="s">
        <v>1191</v>
      </c>
      <c r="E6" s="1" t="s">
        <v>1185</v>
      </c>
      <c r="F6" s="3">
        <v>46094</v>
      </c>
    </row>
    <row r="7" spans="1:6">
      <c r="A7" s="1" t="s">
        <v>1192</v>
      </c>
      <c r="B7" s="1" t="s">
        <v>139</v>
      </c>
      <c r="C7" s="3">
        <v>46079</v>
      </c>
      <c r="D7" s="1" t="s">
        <v>1193</v>
      </c>
      <c r="E7" s="1" t="s">
        <v>1185</v>
      </c>
      <c r="F7" s="3">
        <v>46088</v>
      </c>
    </row>
    <row r="8" spans="1:6">
      <c r="A8" s="1" t="s">
        <v>1194</v>
      </c>
      <c r="B8" s="1" t="s">
        <v>365</v>
      </c>
      <c r="C8" s="3">
        <v>46054</v>
      </c>
      <c r="D8" s="1" t="s">
        <v>1195</v>
      </c>
      <c r="E8" s="1" t="s">
        <v>1185</v>
      </c>
      <c r="F8" s="3">
        <v>46085</v>
      </c>
    </row>
    <row r="9" spans="1:6">
      <c r="A9" s="1" t="s">
        <v>1196</v>
      </c>
      <c r="B9" s="1" t="s">
        <v>625</v>
      </c>
      <c r="C9" s="3">
        <v>46052</v>
      </c>
      <c r="D9" s="1" t="s">
        <v>1184</v>
      </c>
      <c r="E9" s="1" t="s">
        <v>1197</v>
      </c>
      <c r="F9" s="1"/>
    </row>
    <row r="10" spans="1:6">
      <c r="A10" s="1" t="s">
        <v>1198</v>
      </c>
      <c r="B10" s="1" t="s">
        <v>520</v>
      </c>
      <c r="C10" s="3">
        <v>46066</v>
      </c>
      <c r="D10" s="1" t="s">
        <v>1184</v>
      </c>
      <c r="E10" s="1" t="s">
        <v>1199</v>
      </c>
      <c r="F10" s="3">
        <v>46074</v>
      </c>
    </row>
    <row r="11" spans="1:6">
      <c r="A11" s="1" t="s">
        <v>1200</v>
      </c>
      <c r="B11" s="1" t="s">
        <v>572</v>
      </c>
      <c r="C11" s="3">
        <v>46097</v>
      </c>
      <c r="D11" s="1" t="s">
        <v>1201</v>
      </c>
      <c r="E11" s="1" t="s">
        <v>1199</v>
      </c>
      <c r="F11" s="3">
        <v>46103</v>
      </c>
    </row>
    <row r="12" spans="1:6">
      <c r="A12" s="1" t="s">
        <v>1202</v>
      </c>
      <c r="B12" s="1" t="s">
        <v>213</v>
      </c>
      <c r="C12" s="3">
        <v>46046</v>
      </c>
      <c r="D12" s="1" t="s">
        <v>1203</v>
      </c>
      <c r="E12" s="1" t="s">
        <v>1204</v>
      </c>
      <c r="F12" s="1"/>
    </row>
    <row r="13" spans="1:6">
      <c r="A13" s="1" t="s">
        <v>1205</v>
      </c>
      <c r="B13" s="1" t="s">
        <v>404</v>
      </c>
      <c r="C13" s="3">
        <v>46058</v>
      </c>
      <c r="D13" s="1" t="s">
        <v>1206</v>
      </c>
      <c r="E13" s="1" t="s">
        <v>1185</v>
      </c>
      <c r="F13" s="3">
        <v>46067</v>
      </c>
    </row>
    <row r="14" spans="1:6">
      <c r="A14" s="1" t="s">
        <v>1207</v>
      </c>
      <c r="B14" s="1" t="s">
        <v>254</v>
      </c>
      <c r="C14" s="3">
        <v>46207</v>
      </c>
      <c r="D14" s="1" t="s">
        <v>1208</v>
      </c>
      <c r="E14" s="1" t="s">
        <v>1209</v>
      </c>
      <c r="F14" s="3">
        <v>46212</v>
      </c>
    </row>
    <row r="15" spans="1:6">
      <c r="A15" s="1" t="s">
        <v>1210</v>
      </c>
      <c r="B15" s="1" t="s">
        <v>407</v>
      </c>
      <c r="C15" s="3">
        <v>46133</v>
      </c>
      <c r="D15" s="1" t="s">
        <v>1211</v>
      </c>
      <c r="E15" s="1" t="s">
        <v>1209</v>
      </c>
      <c r="F15" s="3">
        <v>46141</v>
      </c>
    </row>
    <row r="16" spans="1:6">
      <c r="A16" s="1" t="s">
        <v>1212</v>
      </c>
      <c r="B16" s="1" t="s">
        <v>116</v>
      </c>
      <c r="C16" s="3">
        <v>46085</v>
      </c>
      <c r="D16" s="1" t="s">
        <v>1213</v>
      </c>
      <c r="E16" s="1" t="s">
        <v>1185</v>
      </c>
      <c r="F16" s="3">
        <v>46088</v>
      </c>
    </row>
    <row r="17" spans="1:6">
      <c r="A17" s="1" t="s">
        <v>1214</v>
      </c>
      <c r="B17" s="1" t="s">
        <v>682</v>
      </c>
      <c r="C17" s="3">
        <v>46184</v>
      </c>
      <c r="D17" s="1" t="s">
        <v>1203</v>
      </c>
      <c r="E17" s="1" t="s">
        <v>1185</v>
      </c>
      <c r="F17" s="3">
        <v>46188</v>
      </c>
    </row>
    <row r="18" spans="1:6">
      <c r="A18" s="1" t="s">
        <v>1215</v>
      </c>
      <c r="B18" s="1" t="s">
        <v>410</v>
      </c>
      <c r="C18" s="3">
        <v>46082</v>
      </c>
      <c r="D18" s="1" t="s">
        <v>1208</v>
      </c>
      <c r="E18" s="1" t="s">
        <v>1185</v>
      </c>
      <c r="F18" s="3">
        <v>46086</v>
      </c>
    </row>
    <row r="19" spans="1:6">
      <c r="A19" s="1" t="s">
        <v>1216</v>
      </c>
      <c r="B19" s="1" t="s">
        <v>672</v>
      </c>
      <c r="C19" s="3">
        <v>46161</v>
      </c>
      <c r="D19" s="1" t="s">
        <v>1184</v>
      </c>
      <c r="E19" s="1" t="s">
        <v>1185</v>
      </c>
      <c r="F19" s="3">
        <v>46170</v>
      </c>
    </row>
    <row r="20" spans="1:6">
      <c r="A20" s="1" t="s">
        <v>1217</v>
      </c>
      <c r="B20" s="1" t="s">
        <v>298</v>
      </c>
      <c r="C20" s="3">
        <v>46213</v>
      </c>
      <c r="D20" s="1" t="s">
        <v>1206</v>
      </c>
      <c r="E20" s="1" t="s">
        <v>1185</v>
      </c>
      <c r="F20" s="3">
        <v>46216</v>
      </c>
    </row>
    <row r="21" spans="1:6">
      <c r="A21" s="1" t="s">
        <v>1218</v>
      </c>
      <c r="B21" s="1" t="s">
        <v>664</v>
      </c>
      <c r="C21" s="3">
        <v>46051</v>
      </c>
      <c r="D21" s="1" t="s">
        <v>1193</v>
      </c>
      <c r="E21" s="1" t="s">
        <v>1185</v>
      </c>
      <c r="F21" s="3">
        <v>46060</v>
      </c>
    </row>
    <row r="22" spans="1:6">
      <c r="A22" s="1" t="s">
        <v>1219</v>
      </c>
      <c r="B22" s="1" t="s">
        <v>101</v>
      </c>
      <c r="C22" s="3">
        <v>46151</v>
      </c>
      <c r="D22" s="1" t="s">
        <v>1206</v>
      </c>
      <c r="E22" s="1" t="s">
        <v>1185</v>
      </c>
      <c r="F22" s="3">
        <v>46160</v>
      </c>
    </row>
    <row r="23" spans="1:6">
      <c r="A23" s="1" t="s">
        <v>1220</v>
      </c>
      <c r="B23" s="1" t="s">
        <v>384</v>
      </c>
      <c r="C23" s="3">
        <v>46186</v>
      </c>
      <c r="D23" s="1" t="s">
        <v>1203</v>
      </c>
      <c r="E23" s="1" t="s">
        <v>1185</v>
      </c>
      <c r="F23" s="3">
        <v>46195</v>
      </c>
    </row>
    <row r="24" spans="1:6">
      <c r="A24" s="1" t="s">
        <v>1221</v>
      </c>
      <c r="B24" s="1" t="s">
        <v>639</v>
      </c>
      <c r="C24" s="3">
        <v>46056</v>
      </c>
      <c r="D24" s="1" t="s">
        <v>1222</v>
      </c>
      <c r="E24" s="1" t="s">
        <v>1185</v>
      </c>
      <c r="F24" s="3">
        <v>46059</v>
      </c>
    </row>
    <row r="25" spans="1:6">
      <c r="A25" s="1" t="s">
        <v>1223</v>
      </c>
      <c r="B25" s="1" t="s">
        <v>601</v>
      </c>
      <c r="C25" s="1" t="s">
        <v>1224</v>
      </c>
      <c r="D25" s="1" t="s">
        <v>1184</v>
      </c>
      <c r="E25" s="1" t="s">
        <v>1185</v>
      </c>
      <c r="F25" s="3">
        <v>46164</v>
      </c>
    </row>
    <row r="26" spans="1:6">
      <c r="A26" s="1" t="s">
        <v>1225</v>
      </c>
      <c r="B26" s="1" t="s">
        <v>399</v>
      </c>
      <c r="C26" s="3">
        <v>46173</v>
      </c>
      <c r="D26" s="1" t="s">
        <v>1222</v>
      </c>
      <c r="E26" s="1" t="s">
        <v>1226</v>
      </c>
      <c r="F26" s="1"/>
    </row>
    <row r="27" spans="1:6">
      <c r="A27" s="1" t="s">
        <v>1227</v>
      </c>
      <c r="B27" s="1" t="s">
        <v>746</v>
      </c>
      <c r="C27" s="3">
        <v>46201</v>
      </c>
      <c r="D27" s="1" t="s">
        <v>1228</v>
      </c>
      <c r="E27" s="1" t="s">
        <v>1185</v>
      </c>
      <c r="F27" s="3">
        <v>46208</v>
      </c>
    </row>
    <row r="28" spans="1:6">
      <c r="A28" s="1" t="s">
        <v>1229</v>
      </c>
      <c r="B28" s="1" t="s">
        <v>658</v>
      </c>
      <c r="C28" s="3">
        <v>46104</v>
      </c>
      <c r="D28" s="1" t="s">
        <v>1206</v>
      </c>
      <c r="E28" s="1" t="s">
        <v>1199</v>
      </c>
      <c r="F28" s="3">
        <v>46108</v>
      </c>
    </row>
    <row r="29" spans="1:6">
      <c r="A29" s="1" t="s">
        <v>1230</v>
      </c>
      <c r="B29" s="1" t="s">
        <v>230</v>
      </c>
      <c r="C29" s="3">
        <v>46200</v>
      </c>
      <c r="D29" s="1" t="s">
        <v>1222</v>
      </c>
      <c r="E29" s="1" t="s">
        <v>1185</v>
      </c>
      <c r="F29" s="3">
        <v>46203</v>
      </c>
    </row>
    <row r="30" spans="1:6">
      <c r="A30" s="1" t="s">
        <v>1231</v>
      </c>
      <c r="B30" s="1" t="s">
        <v>689</v>
      </c>
      <c r="C30" s="3">
        <v>46163</v>
      </c>
      <c r="D30" s="1" t="s">
        <v>1206</v>
      </c>
      <c r="E30" s="1" t="s">
        <v>1199</v>
      </c>
      <c r="F30" s="3">
        <v>46172</v>
      </c>
    </row>
    <row r="31" spans="1:6">
      <c r="A31" s="1" t="s">
        <v>1232</v>
      </c>
      <c r="B31" s="1" t="s">
        <v>297</v>
      </c>
      <c r="C31" s="3">
        <v>46123</v>
      </c>
      <c r="D31" s="1" t="s">
        <v>1233</v>
      </c>
      <c r="E31" s="1" t="s">
        <v>1197</v>
      </c>
      <c r="F31" s="1"/>
    </row>
    <row r="32" spans="1:6">
      <c r="A32" s="1" t="s">
        <v>1234</v>
      </c>
      <c r="B32" s="1" t="s">
        <v>506</v>
      </c>
      <c r="C32" s="3">
        <v>46096</v>
      </c>
      <c r="D32" s="1" t="s">
        <v>1184</v>
      </c>
      <c r="E32" s="1" t="s">
        <v>1197</v>
      </c>
      <c r="F32" s="1"/>
    </row>
    <row r="33" spans="1:6">
      <c r="A33" s="1" t="s">
        <v>1235</v>
      </c>
      <c r="B33" s="1" t="s">
        <v>573</v>
      </c>
      <c r="C33" s="3">
        <v>46060</v>
      </c>
      <c r="D33" s="1" t="s">
        <v>1236</v>
      </c>
      <c r="E33" s="1" t="s">
        <v>1199</v>
      </c>
      <c r="F33" s="3">
        <v>46063</v>
      </c>
    </row>
    <row r="34" spans="1:6">
      <c r="A34" s="1" t="s">
        <v>1237</v>
      </c>
      <c r="B34" s="1" t="s">
        <v>525</v>
      </c>
      <c r="C34" s="3">
        <v>46199</v>
      </c>
      <c r="D34" s="1" t="s">
        <v>1201</v>
      </c>
      <c r="E34" s="1" t="s">
        <v>1199</v>
      </c>
      <c r="F34" s="3">
        <v>46204</v>
      </c>
    </row>
    <row r="35" spans="1:6">
      <c r="A35" s="1" t="s">
        <v>1238</v>
      </c>
      <c r="B35" s="1" t="s">
        <v>675</v>
      </c>
      <c r="C35" s="3">
        <v>46147</v>
      </c>
      <c r="D35" s="1" t="s">
        <v>1195</v>
      </c>
      <c r="E35" s="1" t="s">
        <v>1185</v>
      </c>
      <c r="F35" s="3">
        <v>46155</v>
      </c>
    </row>
    <row r="36" spans="1:6">
      <c r="A36" s="1" t="s">
        <v>1239</v>
      </c>
      <c r="B36" s="1" t="s">
        <v>659</v>
      </c>
      <c r="C36" s="3">
        <v>46177</v>
      </c>
      <c r="D36" s="1" t="s">
        <v>1195</v>
      </c>
      <c r="E36" s="1" t="s">
        <v>1199</v>
      </c>
      <c r="F36" s="3">
        <v>46182</v>
      </c>
    </row>
    <row r="37" spans="1:6">
      <c r="A37" s="1" t="s">
        <v>1240</v>
      </c>
      <c r="B37" s="1" t="s">
        <v>621</v>
      </c>
      <c r="C37" s="3">
        <v>46110</v>
      </c>
      <c r="D37" s="1" t="s">
        <v>1184</v>
      </c>
      <c r="E37" s="1" t="s">
        <v>1197</v>
      </c>
      <c r="F37" s="1"/>
    </row>
    <row r="38" spans="1:6">
      <c r="A38" s="1" t="s">
        <v>1241</v>
      </c>
      <c r="B38" s="1" t="s">
        <v>685</v>
      </c>
      <c r="C38" s="3">
        <v>46116</v>
      </c>
      <c r="D38" s="1" t="s">
        <v>1203</v>
      </c>
      <c r="E38" s="1" t="s">
        <v>1185</v>
      </c>
      <c r="F38" s="3">
        <v>46121</v>
      </c>
    </row>
    <row r="39" spans="1:6">
      <c r="A39" s="1" t="s">
        <v>1242</v>
      </c>
      <c r="B39" s="1" t="s">
        <v>598</v>
      </c>
      <c r="C39" s="3">
        <v>46018</v>
      </c>
      <c r="D39" s="1" t="s">
        <v>1228</v>
      </c>
      <c r="E39" s="1" t="s">
        <v>1185</v>
      </c>
      <c r="F39" s="3">
        <v>46033</v>
      </c>
    </row>
    <row r="40" spans="1:6">
      <c r="A40" s="1" t="s">
        <v>1243</v>
      </c>
      <c r="B40" s="1" t="s">
        <v>18</v>
      </c>
      <c r="C40" s="3">
        <v>46146</v>
      </c>
      <c r="D40" s="1" t="s">
        <v>1189</v>
      </c>
      <c r="E40" s="1" t="s">
        <v>1185</v>
      </c>
      <c r="F40" s="3">
        <v>46153</v>
      </c>
    </row>
    <row r="41" spans="1:6">
      <c r="A41" s="1" t="s">
        <v>1244</v>
      </c>
      <c r="B41" s="1" t="s">
        <v>556</v>
      </c>
      <c r="C41" s="3">
        <v>46146</v>
      </c>
      <c r="D41" s="1" t="s">
        <v>1211</v>
      </c>
      <c r="E41" s="1" t="s">
        <v>1185</v>
      </c>
      <c r="F41" s="3">
        <v>46151</v>
      </c>
    </row>
    <row r="42" spans="1:6">
      <c r="A42" s="1" t="s">
        <v>1245</v>
      </c>
      <c r="B42" s="1" t="s">
        <v>721</v>
      </c>
      <c r="C42" s="3">
        <v>46059</v>
      </c>
      <c r="D42" s="1" t="s">
        <v>1222</v>
      </c>
      <c r="E42" s="1" t="s">
        <v>1185</v>
      </c>
      <c r="F42" s="3">
        <v>46066</v>
      </c>
    </row>
    <row r="43" spans="1:6">
      <c r="A43" s="1" t="s">
        <v>1246</v>
      </c>
      <c r="B43" s="1" t="s">
        <v>290</v>
      </c>
      <c r="C43" s="3">
        <v>46105</v>
      </c>
      <c r="D43" s="1" t="s">
        <v>1208</v>
      </c>
      <c r="E43" s="1" t="s">
        <v>1247</v>
      </c>
      <c r="F43" s="3">
        <v>46111</v>
      </c>
    </row>
    <row r="44" spans="1:6">
      <c r="A44" s="1" t="s">
        <v>1248</v>
      </c>
      <c r="B44" s="1" t="s">
        <v>339</v>
      </c>
      <c r="C44" s="3">
        <v>46072</v>
      </c>
      <c r="D44" s="1" t="s">
        <v>1208</v>
      </c>
      <c r="E44" s="1" t="s">
        <v>1209</v>
      </c>
      <c r="F44" s="3">
        <v>46076</v>
      </c>
    </row>
    <row r="45" spans="1:6">
      <c r="A45" s="1" t="s">
        <v>1249</v>
      </c>
      <c r="B45" s="1" t="s">
        <v>570</v>
      </c>
      <c r="C45" s="3">
        <v>46124</v>
      </c>
      <c r="D45" s="1" t="s">
        <v>1206</v>
      </c>
      <c r="E45" s="1" t="s">
        <v>1185</v>
      </c>
      <c r="F45" s="3">
        <v>46128</v>
      </c>
    </row>
    <row r="46" spans="1:6">
      <c r="A46" s="1" t="s">
        <v>1250</v>
      </c>
      <c r="B46" s="1" t="s">
        <v>90</v>
      </c>
      <c r="C46" s="3">
        <v>46211</v>
      </c>
      <c r="D46" s="1" t="s">
        <v>1184</v>
      </c>
      <c r="E46" s="1" t="s">
        <v>1251</v>
      </c>
      <c r="F46" s="1"/>
    </row>
    <row r="47" spans="1:6">
      <c r="A47" s="1" t="s">
        <v>1252</v>
      </c>
      <c r="B47" s="1" t="s">
        <v>770</v>
      </c>
      <c r="C47" s="1" t="s">
        <v>1253</v>
      </c>
      <c r="D47" s="1" t="s">
        <v>1222</v>
      </c>
      <c r="E47" s="1" t="s">
        <v>1247</v>
      </c>
      <c r="F47" s="3">
        <v>46197</v>
      </c>
    </row>
    <row r="48" spans="1:6">
      <c r="A48" s="1" t="s">
        <v>1254</v>
      </c>
      <c r="B48" s="1" t="s">
        <v>579</v>
      </c>
      <c r="C48" s="3">
        <v>46216</v>
      </c>
      <c r="D48" s="1" t="s">
        <v>1255</v>
      </c>
      <c r="E48" s="1" t="s">
        <v>1185</v>
      </c>
      <c r="F48" s="3">
        <v>46221</v>
      </c>
    </row>
    <row r="49" spans="1:6">
      <c r="A49" s="1" t="s">
        <v>1256</v>
      </c>
      <c r="B49" s="1" t="s">
        <v>287</v>
      </c>
      <c r="C49" s="3">
        <v>46197</v>
      </c>
      <c r="D49" s="1" t="s">
        <v>1222</v>
      </c>
      <c r="E49" s="1" t="s">
        <v>1185</v>
      </c>
      <c r="F49" s="3">
        <v>46206</v>
      </c>
    </row>
    <row r="50" spans="1:6">
      <c r="A50" s="1" t="s">
        <v>1257</v>
      </c>
      <c r="B50" s="1" t="s">
        <v>246</v>
      </c>
      <c r="C50" s="3">
        <v>46206</v>
      </c>
      <c r="D50" s="1" t="s">
        <v>1258</v>
      </c>
      <c r="E50" s="1" t="s">
        <v>1185</v>
      </c>
      <c r="F50" s="3">
        <v>46212</v>
      </c>
    </row>
    <row r="51" spans="1:6">
      <c r="A51" s="1" t="s">
        <v>1259</v>
      </c>
      <c r="B51" s="1" t="s">
        <v>657</v>
      </c>
      <c r="C51" s="3">
        <v>46193</v>
      </c>
      <c r="D51" s="1" t="s">
        <v>1203</v>
      </c>
      <c r="E51" s="1" t="s">
        <v>1185</v>
      </c>
      <c r="F51" s="3">
        <v>46199</v>
      </c>
    </row>
    <row r="52" spans="1:6">
      <c r="A52" s="1" t="s">
        <v>1260</v>
      </c>
      <c r="B52" s="1" t="s">
        <v>129</v>
      </c>
      <c r="C52" s="3">
        <v>46133</v>
      </c>
      <c r="D52" s="1" t="s">
        <v>1208</v>
      </c>
      <c r="E52" s="1" t="s">
        <v>1185</v>
      </c>
      <c r="F52" s="3">
        <v>46138</v>
      </c>
    </row>
    <row r="53" spans="1:6">
      <c r="A53" s="1" t="s">
        <v>1261</v>
      </c>
      <c r="B53" s="1" t="s">
        <v>515</v>
      </c>
      <c r="C53" s="3">
        <v>46090</v>
      </c>
      <c r="D53" s="1" t="s">
        <v>1222</v>
      </c>
      <c r="E53" s="1" t="s">
        <v>1185</v>
      </c>
      <c r="F53" s="3">
        <v>46093</v>
      </c>
    </row>
    <row r="54" spans="1:6">
      <c r="A54" s="1" t="s">
        <v>1262</v>
      </c>
      <c r="B54" s="1" t="s">
        <v>381</v>
      </c>
      <c r="C54" s="3">
        <v>46147</v>
      </c>
      <c r="D54" s="1" t="s">
        <v>1208</v>
      </c>
      <c r="E54" s="1" t="s">
        <v>1247</v>
      </c>
      <c r="F54" s="3">
        <v>46155</v>
      </c>
    </row>
    <row r="55" spans="1:6">
      <c r="A55" s="1" t="s">
        <v>1263</v>
      </c>
      <c r="B55" s="1" t="s">
        <v>175</v>
      </c>
      <c r="C55" s="3">
        <v>46116</v>
      </c>
      <c r="D55" s="1" t="s">
        <v>1203</v>
      </c>
      <c r="E55" s="1" t="s">
        <v>1204</v>
      </c>
      <c r="F55" s="1"/>
    </row>
    <row r="56" spans="1:6">
      <c r="A56" s="1" t="s">
        <v>1264</v>
      </c>
      <c r="B56" s="1" t="s">
        <v>441</v>
      </c>
      <c r="C56" s="3">
        <v>46077</v>
      </c>
      <c r="D56" s="1" t="s">
        <v>1203</v>
      </c>
      <c r="E56" s="1" t="s">
        <v>1247</v>
      </c>
      <c r="F56" s="3">
        <v>46080</v>
      </c>
    </row>
    <row r="57" spans="1:6">
      <c r="A57" s="1" t="s">
        <v>1265</v>
      </c>
      <c r="B57" s="1" t="s">
        <v>745</v>
      </c>
      <c r="C57" s="3">
        <v>46178</v>
      </c>
      <c r="D57" s="1" t="s">
        <v>1195</v>
      </c>
      <c r="E57" s="1" t="s">
        <v>1185</v>
      </c>
      <c r="F57" s="3">
        <v>46199</v>
      </c>
    </row>
    <row r="58" spans="1:6">
      <c r="A58" s="1" t="s">
        <v>1266</v>
      </c>
      <c r="B58" s="1" t="s">
        <v>576</v>
      </c>
      <c r="C58" s="1" t="s">
        <v>1267</v>
      </c>
      <c r="D58" s="1" t="s">
        <v>1222</v>
      </c>
      <c r="E58" s="1" t="s">
        <v>1185</v>
      </c>
      <c r="F58" s="3">
        <v>46076</v>
      </c>
    </row>
    <row r="59" spans="1:6">
      <c r="A59" s="1" t="s">
        <v>1268</v>
      </c>
      <c r="B59" s="1" t="s">
        <v>630</v>
      </c>
      <c r="C59" s="3">
        <v>46191</v>
      </c>
      <c r="D59" s="1" t="s">
        <v>1195</v>
      </c>
      <c r="E59" s="1" t="s">
        <v>1185</v>
      </c>
      <c r="F59" s="3">
        <v>46195</v>
      </c>
    </row>
    <row r="60" spans="1:6">
      <c r="A60" s="1" t="s">
        <v>1269</v>
      </c>
      <c r="B60" s="1" t="s">
        <v>206</v>
      </c>
      <c r="C60" s="3">
        <v>46190</v>
      </c>
      <c r="D60" s="1" t="s">
        <v>1270</v>
      </c>
      <c r="E60" s="1" t="s">
        <v>1247</v>
      </c>
      <c r="F60" s="3">
        <v>46199</v>
      </c>
    </row>
    <row r="61" spans="1:6">
      <c r="A61" s="1" t="s">
        <v>1271</v>
      </c>
      <c r="B61" s="1" t="s">
        <v>715</v>
      </c>
      <c r="C61" s="1" t="s">
        <v>1272</v>
      </c>
      <c r="D61" s="1" t="s">
        <v>1184</v>
      </c>
      <c r="E61" s="1" t="s">
        <v>1185</v>
      </c>
      <c r="F61" s="3">
        <v>46175</v>
      </c>
    </row>
    <row r="62" spans="1:6">
      <c r="A62" s="1" t="s">
        <v>1273</v>
      </c>
      <c r="B62" s="1" t="s">
        <v>70</v>
      </c>
      <c r="C62" s="3">
        <v>46053</v>
      </c>
      <c r="D62" s="1" t="s">
        <v>1195</v>
      </c>
      <c r="E62" s="1" t="s">
        <v>1274</v>
      </c>
      <c r="F62" s="1"/>
    </row>
    <row r="63" spans="1:6">
      <c r="A63" s="1" t="s">
        <v>1275</v>
      </c>
      <c r="B63" s="1" t="s">
        <v>79</v>
      </c>
      <c r="C63" s="3">
        <v>46201</v>
      </c>
      <c r="D63" s="1" t="s">
        <v>1195</v>
      </c>
      <c r="E63" s="1" t="s">
        <v>1185</v>
      </c>
      <c r="F63" s="3">
        <v>46208</v>
      </c>
    </row>
    <row r="64" spans="1:6">
      <c r="A64" s="1" t="s">
        <v>1276</v>
      </c>
      <c r="B64" s="1" t="s">
        <v>191</v>
      </c>
      <c r="C64" s="3">
        <v>46130</v>
      </c>
      <c r="D64" s="1" t="s">
        <v>1195</v>
      </c>
      <c r="E64" s="1" t="s">
        <v>1251</v>
      </c>
      <c r="F64" s="1"/>
    </row>
    <row r="65" spans="1:6">
      <c r="A65" s="1" t="s">
        <v>1277</v>
      </c>
      <c r="B65" s="1" t="s">
        <v>135</v>
      </c>
      <c r="C65" s="3">
        <v>46073</v>
      </c>
      <c r="D65" s="1" t="s">
        <v>1184</v>
      </c>
      <c r="E65" s="1" t="s">
        <v>1197</v>
      </c>
      <c r="F65" s="1"/>
    </row>
    <row r="66" spans="1:6">
      <c r="A66" s="1" t="s">
        <v>1278</v>
      </c>
      <c r="B66" s="1" t="s">
        <v>192</v>
      </c>
      <c r="C66" s="3">
        <v>46129</v>
      </c>
      <c r="D66" s="1" t="s">
        <v>1206</v>
      </c>
      <c r="E66" s="1" t="s">
        <v>1204</v>
      </c>
      <c r="F66" s="1"/>
    </row>
    <row r="67" spans="1:6">
      <c r="A67" s="1" t="s">
        <v>1279</v>
      </c>
      <c r="B67" s="1" t="s">
        <v>608</v>
      </c>
      <c r="C67" s="3">
        <v>46183</v>
      </c>
      <c r="D67" s="1" t="s">
        <v>1195</v>
      </c>
      <c r="E67" s="1" t="s">
        <v>1185</v>
      </c>
      <c r="F67" s="3">
        <v>46189</v>
      </c>
    </row>
    <row r="68" spans="1:6">
      <c r="A68" s="1" t="s">
        <v>1280</v>
      </c>
      <c r="B68" s="1" t="s">
        <v>348</v>
      </c>
      <c r="C68" s="3">
        <v>46168</v>
      </c>
      <c r="D68" s="1" t="s">
        <v>1184</v>
      </c>
      <c r="E68" s="1" t="s">
        <v>1185</v>
      </c>
      <c r="F68" s="3">
        <v>46174</v>
      </c>
    </row>
    <row r="69" spans="1:6">
      <c r="A69" s="1" t="s">
        <v>1281</v>
      </c>
      <c r="B69" s="1" t="s">
        <v>448</v>
      </c>
      <c r="C69" s="3">
        <v>46066</v>
      </c>
      <c r="D69" s="1" t="s">
        <v>1282</v>
      </c>
      <c r="E69" s="1" t="s">
        <v>1209</v>
      </c>
      <c r="F69" s="3">
        <v>46071</v>
      </c>
    </row>
    <row r="70" spans="1:6">
      <c r="A70" s="1" t="s">
        <v>1283</v>
      </c>
      <c r="B70" s="1" t="s">
        <v>379</v>
      </c>
      <c r="C70" s="3">
        <v>46172</v>
      </c>
      <c r="D70" s="1" t="s">
        <v>1206</v>
      </c>
      <c r="E70" s="1" t="s">
        <v>1251</v>
      </c>
      <c r="F70" s="1"/>
    </row>
    <row r="71" spans="1:6">
      <c r="A71" s="1" t="s">
        <v>1284</v>
      </c>
      <c r="B71" s="1" t="s">
        <v>711</v>
      </c>
      <c r="C71" s="3">
        <v>46071</v>
      </c>
      <c r="D71" s="1" t="s">
        <v>1208</v>
      </c>
      <c r="E71" s="1" t="s">
        <v>1247</v>
      </c>
      <c r="F71" s="3">
        <v>46076</v>
      </c>
    </row>
    <row r="72" spans="1:6">
      <c r="A72" s="1" t="s">
        <v>1285</v>
      </c>
      <c r="B72" s="1" t="s">
        <v>361</v>
      </c>
      <c r="C72" s="3">
        <v>46225</v>
      </c>
      <c r="D72" s="1" t="s">
        <v>1195</v>
      </c>
      <c r="E72" s="1" t="s">
        <v>1204</v>
      </c>
      <c r="F72" s="1"/>
    </row>
    <row r="73" spans="1:6">
      <c r="A73" s="1" t="s">
        <v>1286</v>
      </c>
      <c r="B73" s="1" t="s">
        <v>314</v>
      </c>
      <c r="C73" s="3">
        <v>46171</v>
      </c>
      <c r="D73" s="1" t="s">
        <v>1222</v>
      </c>
      <c r="E73" s="1" t="s">
        <v>1226</v>
      </c>
      <c r="F73" s="1"/>
    </row>
    <row r="74" spans="1:6">
      <c r="A74" s="1" t="s">
        <v>1287</v>
      </c>
      <c r="B74" s="1" t="s">
        <v>388</v>
      </c>
      <c r="C74" s="3">
        <v>46191</v>
      </c>
      <c r="D74" s="1" t="s">
        <v>1206</v>
      </c>
      <c r="E74" s="1" t="s">
        <v>1209</v>
      </c>
      <c r="F74" s="3">
        <v>46195</v>
      </c>
    </row>
    <row r="75" spans="1:6">
      <c r="A75" s="1" t="s">
        <v>1288</v>
      </c>
      <c r="B75" s="1" t="s">
        <v>651</v>
      </c>
      <c r="C75" s="3">
        <v>46064</v>
      </c>
      <c r="D75" s="1" t="s">
        <v>1289</v>
      </c>
      <c r="E75" s="1" t="s">
        <v>1185</v>
      </c>
      <c r="F75" s="3">
        <v>46069</v>
      </c>
    </row>
    <row r="76" spans="1:6">
      <c r="A76" s="1" t="s">
        <v>1290</v>
      </c>
      <c r="B76" s="1" t="s">
        <v>732</v>
      </c>
      <c r="C76" s="3">
        <v>46057</v>
      </c>
      <c r="D76" s="1" t="s">
        <v>1203</v>
      </c>
      <c r="E76" s="1" t="s">
        <v>1185</v>
      </c>
      <c r="F76" s="3">
        <v>46061</v>
      </c>
    </row>
    <row r="77" spans="1:6">
      <c r="A77" s="1" t="s">
        <v>1291</v>
      </c>
      <c r="B77" s="1" t="s">
        <v>360</v>
      </c>
      <c r="C77" s="3">
        <v>46193</v>
      </c>
      <c r="D77" s="1" t="s">
        <v>1236</v>
      </c>
      <c r="E77" s="1" t="s">
        <v>1197</v>
      </c>
      <c r="F77" s="1"/>
    </row>
    <row r="78" spans="1:6">
      <c r="A78" s="1" t="s">
        <v>1292</v>
      </c>
      <c r="B78" s="1" t="s">
        <v>755</v>
      </c>
      <c r="C78" s="3">
        <v>46206</v>
      </c>
      <c r="D78" s="1" t="s">
        <v>1208</v>
      </c>
      <c r="E78" s="1" t="s">
        <v>1185</v>
      </c>
      <c r="F78" s="3">
        <v>46215</v>
      </c>
    </row>
    <row r="79" spans="1:6">
      <c r="A79" s="1" t="s">
        <v>1293</v>
      </c>
      <c r="B79" s="1" t="s">
        <v>416</v>
      </c>
      <c r="C79" s="3">
        <v>46209</v>
      </c>
      <c r="D79" s="1" t="s">
        <v>1195</v>
      </c>
      <c r="E79" s="1" t="s">
        <v>1185</v>
      </c>
      <c r="F79" s="3">
        <v>46218</v>
      </c>
    </row>
    <row r="80" spans="1:6">
      <c r="A80" s="1" t="s">
        <v>1294</v>
      </c>
      <c r="B80" s="1" t="s">
        <v>32</v>
      </c>
      <c r="C80" s="3">
        <v>46103</v>
      </c>
      <c r="D80" s="1" t="s">
        <v>1295</v>
      </c>
      <c r="E80" s="1" t="s">
        <v>1296</v>
      </c>
      <c r="F80" s="1"/>
    </row>
    <row r="81" spans="1:6">
      <c r="A81" s="1" t="s">
        <v>1297</v>
      </c>
      <c r="B81" s="1" t="s">
        <v>112</v>
      </c>
      <c r="C81" s="3">
        <v>46172</v>
      </c>
      <c r="D81" s="1" t="s">
        <v>1208</v>
      </c>
      <c r="E81" s="1" t="s">
        <v>1185</v>
      </c>
      <c r="F81" s="3">
        <v>46181</v>
      </c>
    </row>
    <row r="82" spans="1:6">
      <c r="A82" s="1" t="s">
        <v>1298</v>
      </c>
      <c r="B82" s="1" t="s">
        <v>622</v>
      </c>
      <c r="C82" s="3">
        <v>46098</v>
      </c>
      <c r="D82" s="1" t="s">
        <v>1195</v>
      </c>
      <c r="E82" s="1" t="s">
        <v>1185</v>
      </c>
      <c r="F82" s="3">
        <v>46107</v>
      </c>
    </row>
    <row r="83" spans="1:6">
      <c r="A83" s="1" t="s">
        <v>1299</v>
      </c>
      <c r="B83" s="1" t="s">
        <v>27</v>
      </c>
      <c r="C83" s="3">
        <v>46076</v>
      </c>
      <c r="D83" s="1" t="s">
        <v>1208</v>
      </c>
      <c r="E83" s="1" t="s">
        <v>1185</v>
      </c>
      <c r="F83" s="3">
        <v>46082</v>
      </c>
    </row>
    <row r="84" spans="1:6">
      <c r="A84" s="1" t="s">
        <v>1300</v>
      </c>
      <c r="B84" s="1" t="s">
        <v>200</v>
      </c>
      <c r="C84" s="3">
        <v>46102</v>
      </c>
      <c r="D84" s="1" t="s">
        <v>1222</v>
      </c>
      <c r="E84" s="1" t="s">
        <v>1185</v>
      </c>
      <c r="F84" s="3">
        <v>46109</v>
      </c>
    </row>
    <row r="85" spans="1:6">
      <c r="A85" s="1" t="s">
        <v>1301</v>
      </c>
      <c r="B85" s="1" t="s">
        <v>751</v>
      </c>
      <c r="C85" s="3">
        <v>46156</v>
      </c>
      <c r="D85" s="1" t="s">
        <v>1203</v>
      </c>
      <c r="E85" s="1" t="s">
        <v>1185</v>
      </c>
      <c r="F85" s="3">
        <v>46159</v>
      </c>
    </row>
    <row r="86" spans="1:6">
      <c r="A86" s="1" t="s">
        <v>1302</v>
      </c>
      <c r="B86" s="1" t="s">
        <v>724</v>
      </c>
      <c r="C86" s="3">
        <v>46129</v>
      </c>
      <c r="D86" s="1" t="s">
        <v>1213</v>
      </c>
      <c r="E86" s="1" t="s">
        <v>1251</v>
      </c>
      <c r="F86" s="1"/>
    </row>
    <row r="87" spans="1:6">
      <c r="A87" s="1" t="s">
        <v>1303</v>
      </c>
      <c r="B87" s="1" t="s">
        <v>1304</v>
      </c>
      <c r="C87" s="3">
        <v>46122</v>
      </c>
      <c r="D87" s="1" t="s">
        <v>1222</v>
      </c>
      <c r="E87" s="1" t="s">
        <v>1185</v>
      </c>
      <c r="F87" s="3">
        <v>46127</v>
      </c>
    </row>
    <row r="88" spans="1:6">
      <c r="A88" s="1" t="s">
        <v>1278</v>
      </c>
      <c r="B88" s="1" t="s">
        <v>192</v>
      </c>
      <c r="C88" s="3">
        <v>46129</v>
      </c>
      <c r="D88" s="1" t="s">
        <v>1206</v>
      </c>
      <c r="E88" s="1" t="s">
        <v>1204</v>
      </c>
      <c r="F88" s="1"/>
    </row>
    <row r="89" spans="1:6">
      <c r="A89" s="1" t="s">
        <v>1241</v>
      </c>
      <c r="B89" s="1" t="s">
        <v>685</v>
      </c>
      <c r="C89" s="3">
        <v>46116</v>
      </c>
      <c r="D89" s="1" t="s">
        <v>1203</v>
      </c>
      <c r="E89" s="1" t="s">
        <v>1185</v>
      </c>
      <c r="F89" s="3">
        <v>46121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0"/>
  <sheetViews>
    <sheetView workbookViewId="0">
      <pane ySplit="1" topLeftCell="A2" activePane="bottomLeft" state="frozen"/>
      <selection pane="bottomLeft" activeCell="E72" sqref="E72"/>
    </sheetView>
  </sheetViews>
  <sheetFormatPr defaultRowHeight="15"/>
  <cols>
    <col min="1" max="3" width="14" customWidth="1"/>
    <col min="4" max="4" width="21" customWidth="1"/>
    <col min="5" max="5" width="17.5703125" customWidth="1"/>
    <col min="6" max="6" width="18" customWidth="1"/>
    <col min="7" max="7" width="15.140625" customWidth="1"/>
  </cols>
  <sheetData>
    <row r="1" spans="1:7">
      <c r="A1" s="2" t="s">
        <v>1305</v>
      </c>
      <c r="B1" s="2" t="s">
        <v>1178</v>
      </c>
      <c r="C1" s="2" t="s">
        <v>0</v>
      </c>
      <c r="D1" s="2" t="s">
        <v>1306</v>
      </c>
      <c r="E1" s="2" t="s">
        <v>1307</v>
      </c>
      <c r="F1" s="2" t="s">
        <v>1308</v>
      </c>
      <c r="G1" s="2" t="s">
        <v>1309</v>
      </c>
    </row>
    <row r="2" spans="1:7">
      <c r="A2" s="1" t="s">
        <v>1310</v>
      </c>
      <c r="B2" s="1" t="s">
        <v>1183</v>
      </c>
      <c r="C2" s="1" t="s">
        <v>44</v>
      </c>
      <c r="D2" s="3">
        <v>46167</v>
      </c>
      <c r="E2" s="1">
        <v>499</v>
      </c>
      <c r="F2" s="1" t="s">
        <v>1311</v>
      </c>
      <c r="G2" s="1" t="s">
        <v>1312</v>
      </c>
    </row>
    <row r="3" spans="1:7">
      <c r="A3" s="1" t="s">
        <v>1313</v>
      </c>
      <c r="B3" s="1" t="s">
        <v>1186</v>
      </c>
      <c r="C3" s="1" t="s">
        <v>343</v>
      </c>
      <c r="D3" s="3">
        <v>46123</v>
      </c>
      <c r="E3" s="1">
        <v>599</v>
      </c>
      <c r="F3" s="1" t="s">
        <v>1314</v>
      </c>
      <c r="G3" s="1" t="s">
        <v>1315</v>
      </c>
    </row>
    <row r="4" spans="1:7">
      <c r="A4" s="1" t="s">
        <v>1316</v>
      </c>
      <c r="B4" s="1" t="s">
        <v>1187</v>
      </c>
      <c r="C4" s="1" t="s">
        <v>716</v>
      </c>
      <c r="D4" s="3">
        <v>46080</v>
      </c>
      <c r="E4" s="1">
        <v>2799</v>
      </c>
      <c r="F4" s="1" t="s">
        <v>1317</v>
      </c>
      <c r="G4" s="1" t="s">
        <v>1318</v>
      </c>
    </row>
    <row r="5" spans="1:7">
      <c r="A5" s="1" t="s">
        <v>1319</v>
      </c>
      <c r="B5" s="1" t="s">
        <v>1188</v>
      </c>
      <c r="C5" s="1" t="s">
        <v>677</v>
      </c>
      <c r="D5" s="3">
        <v>46201</v>
      </c>
      <c r="E5" s="1">
        <v>1499</v>
      </c>
      <c r="F5" s="1" t="s">
        <v>1317</v>
      </c>
      <c r="G5" s="1" t="s">
        <v>1320</v>
      </c>
    </row>
    <row r="6" spans="1:7">
      <c r="A6" s="1" t="s">
        <v>1321</v>
      </c>
      <c r="B6" s="1" t="s">
        <v>1190</v>
      </c>
      <c r="C6" s="1" t="s">
        <v>600</v>
      </c>
      <c r="D6" s="3">
        <v>46099</v>
      </c>
      <c r="E6" s="1">
        <v>999</v>
      </c>
      <c r="F6" s="1" t="s">
        <v>1311</v>
      </c>
      <c r="G6" s="1" t="s">
        <v>1312</v>
      </c>
    </row>
    <row r="7" spans="1:7">
      <c r="A7" s="1" t="s">
        <v>1322</v>
      </c>
      <c r="B7" s="1" t="s">
        <v>1192</v>
      </c>
      <c r="C7" s="1" t="s">
        <v>139</v>
      </c>
      <c r="D7" s="3">
        <v>46093</v>
      </c>
      <c r="E7" s="1">
        <v>999</v>
      </c>
      <c r="F7" s="1" t="s">
        <v>1314</v>
      </c>
      <c r="G7" s="1" t="s">
        <v>1323</v>
      </c>
    </row>
    <row r="8" spans="1:7">
      <c r="A8" s="1" t="s">
        <v>1324</v>
      </c>
      <c r="B8" s="1" t="s">
        <v>1194</v>
      </c>
      <c r="C8" s="1" t="s">
        <v>365</v>
      </c>
      <c r="D8" s="3">
        <v>46086</v>
      </c>
      <c r="E8" s="1">
        <v>1199</v>
      </c>
      <c r="F8" s="1" t="s">
        <v>1314</v>
      </c>
      <c r="G8" s="1" t="s">
        <v>1325</v>
      </c>
    </row>
    <row r="9" spans="1:7">
      <c r="A9" s="1" t="s">
        <v>1326</v>
      </c>
      <c r="B9" s="1" t="s">
        <v>1198</v>
      </c>
      <c r="C9" s="1" t="s">
        <v>520</v>
      </c>
      <c r="D9" s="3">
        <v>46076</v>
      </c>
      <c r="E9" s="1">
        <v>7998</v>
      </c>
      <c r="F9" s="1" t="s">
        <v>1317</v>
      </c>
      <c r="G9" s="1" t="s">
        <v>1320</v>
      </c>
    </row>
    <row r="10" spans="1:7">
      <c r="A10" s="1" t="s">
        <v>1327</v>
      </c>
      <c r="B10" s="1" t="s">
        <v>1200</v>
      </c>
      <c r="C10" s="1" t="s">
        <v>572</v>
      </c>
      <c r="D10" s="3">
        <v>46108</v>
      </c>
      <c r="E10" s="1">
        <v>2698</v>
      </c>
      <c r="F10" s="1" t="s">
        <v>1317</v>
      </c>
      <c r="G10" s="1" t="s">
        <v>1325</v>
      </c>
    </row>
    <row r="11" spans="1:7">
      <c r="A11" s="1" t="s">
        <v>1328</v>
      </c>
      <c r="B11" s="1" t="s">
        <v>1205</v>
      </c>
      <c r="C11" s="1" t="s">
        <v>404</v>
      </c>
      <c r="D11" s="3">
        <v>46072</v>
      </c>
      <c r="E11" s="1">
        <v>2199</v>
      </c>
      <c r="F11" s="1" t="s">
        <v>1317</v>
      </c>
      <c r="G11" s="1" t="s">
        <v>1318</v>
      </c>
    </row>
    <row r="12" spans="1:7">
      <c r="A12" s="1" t="s">
        <v>1329</v>
      </c>
      <c r="B12" s="1" t="s">
        <v>1207</v>
      </c>
      <c r="C12" s="1" t="s">
        <v>254</v>
      </c>
      <c r="D12" s="1" t="s">
        <v>1330</v>
      </c>
      <c r="E12" s="1">
        <v>6397</v>
      </c>
      <c r="F12" s="1" t="s">
        <v>1317</v>
      </c>
      <c r="G12" s="1" t="s">
        <v>1315</v>
      </c>
    </row>
    <row r="13" spans="1:7">
      <c r="A13" s="1" t="s">
        <v>1331</v>
      </c>
      <c r="B13" s="1" t="s">
        <v>1210</v>
      </c>
      <c r="C13" s="1" t="s">
        <v>407</v>
      </c>
      <c r="D13" s="3">
        <v>46145</v>
      </c>
      <c r="E13" s="1">
        <v>499</v>
      </c>
      <c r="F13" s="1" t="s">
        <v>1314</v>
      </c>
      <c r="G13" s="1" t="s">
        <v>1312</v>
      </c>
    </row>
    <row r="14" spans="1:7">
      <c r="A14" s="1" t="s">
        <v>1332</v>
      </c>
      <c r="B14" s="1" t="s">
        <v>1212</v>
      </c>
      <c r="C14" s="1" t="s">
        <v>116</v>
      </c>
      <c r="D14" s="3">
        <v>46089</v>
      </c>
      <c r="E14" s="1">
        <v>6897</v>
      </c>
      <c r="F14" s="1" t="s">
        <v>1311</v>
      </c>
      <c r="G14" s="1" t="s">
        <v>1320</v>
      </c>
    </row>
    <row r="15" spans="1:7">
      <c r="A15" s="1" t="s">
        <v>1333</v>
      </c>
      <c r="B15" s="1" t="s">
        <v>1214</v>
      </c>
      <c r="C15" s="1" t="s">
        <v>682</v>
      </c>
      <c r="D15" s="3">
        <v>46192</v>
      </c>
      <c r="E15" s="1">
        <v>1999</v>
      </c>
      <c r="F15" s="1" t="s">
        <v>1314</v>
      </c>
      <c r="G15" s="1" t="s">
        <v>1323</v>
      </c>
    </row>
    <row r="16" spans="1:7">
      <c r="A16" s="1" t="s">
        <v>1334</v>
      </c>
      <c r="B16" s="1" t="s">
        <v>1215</v>
      </c>
      <c r="C16" s="1" t="s">
        <v>410</v>
      </c>
      <c r="D16" s="3">
        <v>46088</v>
      </c>
      <c r="E16" s="1">
        <v>2199</v>
      </c>
      <c r="F16" s="1" t="s">
        <v>1314</v>
      </c>
      <c r="G16" s="1" t="s">
        <v>1315</v>
      </c>
    </row>
    <row r="17" spans="1:7">
      <c r="A17" s="1" t="s">
        <v>1335</v>
      </c>
      <c r="B17" s="1" t="s">
        <v>1216</v>
      </c>
      <c r="C17" s="1" t="s">
        <v>672</v>
      </c>
      <c r="D17" s="3">
        <v>46175</v>
      </c>
      <c r="E17" s="1">
        <v>1999</v>
      </c>
      <c r="F17" s="1" t="s">
        <v>1311</v>
      </c>
      <c r="G17" s="1" t="s">
        <v>1312</v>
      </c>
    </row>
    <row r="18" spans="1:7">
      <c r="A18" s="1" t="s">
        <v>1336</v>
      </c>
      <c r="B18" s="1" t="s">
        <v>1217</v>
      </c>
      <c r="C18" s="1" t="s">
        <v>298</v>
      </c>
      <c r="D18" s="3">
        <v>46219</v>
      </c>
      <c r="E18" s="1">
        <v>2499</v>
      </c>
      <c r="F18" s="1" t="s">
        <v>1317</v>
      </c>
      <c r="G18" s="1" t="s">
        <v>1323</v>
      </c>
    </row>
    <row r="19" spans="1:7">
      <c r="A19" s="1" t="s">
        <v>1337</v>
      </c>
      <c r="B19" s="1" t="s">
        <v>1218</v>
      </c>
      <c r="C19" s="1" t="s">
        <v>664</v>
      </c>
      <c r="D19" s="3">
        <v>46065</v>
      </c>
      <c r="E19" s="1">
        <v>499</v>
      </c>
      <c r="F19" s="1" t="s">
        <v>1314</v>
      </c>
      <c r="G19" s="1" t="s">
        <v>1318</v>
      </c>
    </row>
    <row r="20" spans="1:7">
      <c r="A20" s="1" t="s">
        <v>1338</v>
      </c>
      <c r="B20" s="1" t="s">
        <v>1219</v>
      </c>
      <c r="C20" s="1" t="s">
        <v>101</v>
      </c>
      <c r="D20" s="3">
        <v>46164</v>
      </c>
      <c r="E20" s="1">
        <v>1499</v>
      </c>
      <c r="F20" s="1" t="s">
        <v>1317</v>
      </c>
      <c r="G20" s="1" t="s">
        <v>1318</v>
      </c>
    </row>
    <row r="21" spans="1:7">
      <c r="A21" s="1" t="s">
        <v>1339</v>
      </c>
      <c r="B21" s="1" t="s">
        <v>1220</v>
      </c>
      <c r="C21" s="1" t="s">
        <v>384</v>
      </c>
      <c r="D21" s="3">
        <v>46197</v>
      </c>
      <c r="E21" s="1">
        <v>4497</v>
      </c>
      <c r="F21" s="1" t="s">
        <v>1311</v>
      </c>
      <c r="G21" s="1" t="s">
        <v>1323</v>
      </c>
    </row>
    <row r="22" spans="1:7">
      <c r="A22" s="1" t="s">
        <v>1340</v>
      </c>
      <c r="B22" s="1" t="s">
        <v>1221</v>
      </c>
      <c r="C22" s="1" t="s">
        <v>639</v>
      </c>
      <c r="D22" s="3">
        <v>46061</v>
      </c>
      <c r="E22" s="1">
        <v>2598</v>
      </c>
      <c r="F22" s="1" t="s">
        <v>1311</v>
      </c>
      <c r="G22" s="1" t="s">
        <v>1312</v>
      </c>
    </row>
    <row r="23" spans="1:7">
      <c r="A23" s="1" t="s">
        <v>1341</v>
      </c>
      <c r="B23" s="1" t="s">
        <v>1223</v>
      </c>
      <c r="C23" s="1" t="s">
        <v>601</v>
      </c>
      <c r="D23" s="3">
        <v>46165</v>
      </c>
      <c r="E23" s="1">
        <v>1999</v>
      </c>
      <c r="F23" s="1" t="s">
        <v>1311</v>
      </c>
      <c r="G23" s="1" t="s">
        <v>1312</v>
      </c>
    </row>
    <row r="24" spans="1:7">
      <c r="A24" s="1" t="s">
        <v>1342</v>
      </c>
      <c r="B24" s="1" t="s">
        <v>1227</v>
      </c>
      <c r="C24" s="1" t="s">
        <v>746</v>
      </c>
      <c r="D24" s="3">
        <v>46213</v>
      </c>
      <c r="E24" s="1">
        <v>2299</v>
      </c>
      <c r="F24" s="1" t="s">
        <v>1317</v>
      </c>
      <c r="G24" s="1" t="s">
        <v>1323</v>
      </c>
    </row>
    <row r="25" spans="1:7">
      <c r="A25" s="1" t="s">
        <v>1343</v>
      </c>
      <c r="B25" s="1" t="s">
        <v>1229</v>
      </c>
      <c r="C25" s="1" t="s">
        <v>658</v>
      </c>
      <c r="D25" s="3">
        <v>46109</v>
      </c>
      <c r="E25" s="1">
        <v>1999</v>
      </c>
      <c r="F25" s="1" t="s">
        <v>1314</v>
      </c>
      <c r="G25" s="1" t="s">
        <v>1312</v>
      </c>
    </row>
    <row r="26" spans="1:7">
      <c r="A26" s="1" t="s">
        <v>1344</v>
      </c>
      <c r="B26" s="1" t="s">
        <v>1230</v>
      </c>
      <c r="C26" s="1" t="s">
        <v>230</v>
      </c>
      <c r="D26" s="3">
        <v>46206</v>
      </c>
      <c r="E26" s="1">
        <v>1499</v>
      </c>
      <c r="F26" s="1" t="s">
        <v>1314</v>
      </c>
      <c r="G26" s="1" t="s">
        <v>1325</v>
      </c>
    </row>
    <row r="27" spans="1:7">
      <c r="A27" s="1" t="s">
        <v>1345</v>
      </c>
      <c r="B27" s="1" t="s">
        <v>1231</v>
      </c>
      <c r="C27" s="1" t="s">
        <v>689</v>
      </c>
      <c r="D27" s="3">
        <v>46173</v>
      </c>
      <c r="E27" s="1">
        <v>5598</v>
      </c>
      <c r="F27" s="1" t="s">
        <v>1314</v>
      </c>
      <c r="G27" s="1"/>
    </row>
    <row r="28" spans="1:7">
      <c r="A28" s="1" t="s">
        <v>1346</v>
      </c>
      <c r="B28" s="1" t="s">
        <v>1235</v>
      </c>
      <c r="C28" s="1" t="s">
        <v>573</v>
      </c>
      <c r="D28" s="3">
        <v>46068</v>
      </c>
      <c r="E28" s="1">
        <v>11997</v>
      </c>
      <c r="F28" s="1" t="s">
        <v>1311</v>
      </c>
      <c r="G28" s="1" t="s">
        <v>1323</v>
      </c>
    </row>
    <row r="29" spans="1:7">
      <c r="A29" s="1" t="s">
        <v>1347</v>
      </c>
      <c r="B29" s="1" t="s">
        <v>1237</v>
      </c>
      <c r="C29" s="1" t="s">
        <v>525</v>
      </c>
      <c r="D29" s="3">
        <v>46209</v>
      </c>
      <c r="E29" s="1">
        <v>2299</v>
      </c>
      <c r="F29" s="1" t="s">
        <v>1314</v>
      </c>
      <c r="G29" s="1" t="s">
        <v>1348</v>
      </c>
    </row>
    <row r="30" spans="1:7">
      <c r="A30" s="1" t="s">
        <v>1349</v>
      </c>
      <c r="B30" s="1" t="s">
        <v>1238</v>
      </c>
      <c r="C30" s="1" t="s">
        <v>675</v>
      </c>
      <c r="D30" s="3">
        <v>46161</v>
      </c>
      <c r="E30" s="1">
        <v>1598</v>
      </c>
      <c r="F30" s="1" t="s">
        <v>1311</v>
      </c>
      <c r="G30" s="1" t="s">
        <v>1312</v>
      </c>
    </row>
    <row r="31" spans="1:7">
      <c r="A31" s="1" t="s">
        <v>1350</v>
      </c>
      <c r="B31" s="1" t="s">
        <v>1239</v>
      </c>
      <c r="C31" s="1" t="s">
        <v>659</v>
      </c>
      <c r="D31" s="3">
        <v>46186</v>
      </c>
      <c r="E31" s="1">
        <v>-5397</v>
      </c>
      <c r="F31" s="1" t="s">
        <v>1311</v>
      </c>
      <c r="G31" s="1" t="s">
        <v>1312</v>
      </c>
    </row>
    <row r="32" spans="1:7">
      <c r="A32" s="1" t="s">
        <v>1351</v>
      </c>
      <c r="B32" s="1" t="s">
        <v>1241</v>
      </c>
      <c r="C32" s="1" t="s">
        <v>685</v>
      </c>
      <c r="D32" s="3">
        <v>46122</v>
      </c>
      <c r="E32" s="1">
        <v>2299</v>
      </c>
      <c r="F32" s="1" t="s">
        <v>1314</v>
      </c>
      <c r="G32" s="1" t="s">
        <v>1318</v>
      </c>
    </row>
    <row r="33" spans="1:7">
      <c r="A33" s="1" t="s">
        <v>1352</v>
      </c>
      <c r="B33" s="1" t="s">
        <v>1242</v>
      </c>
      <c r="C33" s="1" t="s">
        <v>598</v>
      </c>
      <c r="D33" s="3">
        <v>46039</v>
      </c>
      <c r="E33" s="1">
        <v>3198</v>
      </c>
      <c r="F33" s="1" t="s">
        <v>1311</v>
      </c>
      <c r="G33" s="1" t="s">
        <v>1323</v>
      </c>
    </row>
    <row r="34" spans="1:7">
      <c r="A34" s="1" t="s">
        <v>1353</v>
      </c>
      <c r="B34" s="1" t="s">
        <v>1243</v>
      </c>
      <c r="C34" s="1" t="s">
        <v>18</v>
      </c>
      <c r="D34" s="3">
        <v>46154</v>
      </c>
      <c r="E34" s="1">
        <v>3299</v>
      </c>
      <c r="F34" s="1" t="s">
        <v>1314</v>
      </c>
      <c r="G34" s="1" t="s">
        <v>1312</v>
      </c>
    </row>
    <row r="35" spans="1:7">
      <c r="A35" s="1" t="s">
        <v>1354</v>
      </c>
      <c r="B35" s="1" t="s">
        <v>1244</v>
      </c>
      <c r="C35" s="1" t="s">
        <v>556</v>
      </c>
      <c r="D35" s="3">
        <v>46152</v>
      </c>
      <c r="E35" s="1">
        <v>1998</v>
      </c>
      <c r="F35" s="1" t="s">
        <v>1314</v>
      </c>
      <c r="G35" s="1" t="s">
        <v>1323</v>
      </c>
    </row>
    <row r="36" spans="1:7">
      <c r="A36" s="1" t="s">
        <v>1355</v>
      </c>
      <c r="B36" s="1" t="s">
        <v>1245</v>
      </c>
      <c r="C36" s="1" t="s">
        <v>721</v>
      </c>
      <c r="D36" s="3">
        <v>46072</v>
      </c>
      <c r="E36" s="1">
        <v>1199</v>
      </c>
      <c r="F36" s="1" t="s">
        <v>1311</v>
      </c>
      <c r="G36" s="1" t="s">
        <v>1323</v>
      </c>
    </row>
    <row r="37" spans="1:7">
      <c r="A37" s="1" t="s">
        <v>1356</v>
      </c>
      <c r="B37" s="1" t="s">
        <v>1246</v>
      </c>
      <c r="C37" s="1" t="s">
        <v>290</v>
      </c>
      <c r="D37" s="3">
        <v>46112</v>
      </c>
      <c r="E37" s="1" t="s">
        <v>1357</v>
      </c>
      <c r="F37" s="1" t="s">
        <v>1317</v>
      </c>
      <c r="G37" s="1" t="s">
        <v>1323</v>
      </c>
    </row>
    <row r="38" spans="1:7">
      <c r="A38" s="1" t="s">
        <v>1358</v>
      </c>
      <c r="B38" s="1" t="s">
        <v>1248</v>
      </c>
      <c r="C38" s="1" t="s">
        <v>339</v>
      </c>
      <c r="D38" s="3">
        <v>46082</v>
      </c>
      <c r="E38" s="1">
        <v>6598</v>
      </c>
      <c r="F38" s="1" t="s">
        <v>1314</v>
      </c>
      <c r="G38" s="1" t="s">
        <v>1318</v>
      </c>
    </row>
    <row r="39" spans="1:7">
      <c r="A39" s="1" t="s">
        <v>1359</v>
      </c>
      <c r="B39" s="1" t="s">
        <v>1249</v>
      </c>
      <c r="C39" s="1" t="s">
        <v>570</v>
      </c>
      <c r="D39" s="3">
        <v>46132</v>
      </c>
      <c r="E39" s="1">
        <v>1499</v>
      </c>
      <c r="F39" s="1" t="s">
        <v>1311</v>
      </c>
      <c r="G39" s="1" t="s">
        <v>1360</v>
      </c>
    </row>
    <row r="40" spans="1:7">
      <c r="A40" s="1" t="s">
        <v>1361</v>
      </c>
      <c r="B40" s="1" t="s">
        <v>1252</v>
      </c>
      <c r="C40" s="1" t="s">
        <v>770</v>
      </c>
      <c r="D40" s="3">
        <v>46201</v>
      </c>
      <c r="E40" s="1">
        <v>2199</v>
      </c>
      <c r="F40" s="1" t="s">
        <v>1311</v>
      </c>
      <c r="G40" s="1" t="s">
        <v>1312</v>
      </c>
    </row>
    <row r="41" spans="1:7">
      <c r="A41" s="1" t="s">
        <v>1362</v>
      </c>
      <c r="B41" s="1" t="s">
        <v>1254</v>
      </c>
      <c r="C41" s="1" t="s">
        <v>579</v>
      </c>
      <c r="D41" s="3">
        <v>46223</v>
      </c>
      <c r="E41" s="1">
        <v>-3499</v>
      </c>
      <c r="F41" s="1" t="s">
        <v>1317</v>
      </c>
      <c r="G41" s="1" t="s">
        <v>1320</v>
      </c>
    </row>
    <row r="42" spans="1:7">
      <c r="A42" s="1" t="s">
        <v>1363</v>
      </c>
      <c r="B42" s="1" t="s">
        <v>1256</v>
      </c>
      <c r="C42" s="1" t="s">
        <v>287</v>
      </c>
      <c r="D42" s="3">
        <v>46211</v>
      </c>
      <c r="E42" s="1">
        <v>1999</v>
      </c>
      <c r="F42" s="1" t="s">
        <v>1311</v>
      </c>
      <c r="G42" s="1" t="s">
        <v>1312</v>
      </c>
    </row>
    <row r="43" spans="1:7">
      <c r="A43" s="1" t="s">
        <v>1364</v>
      </c>
      <c r="B43" s="1" t="s">
        <v>1257</v>
      </c>
      <c r="C43" s="1" t="s">
        <v>246</v>
      </c>
      <c r="D43" s="3">
        <v>46213</v>
      </c>
      <c r="E43" s="1">
        <v>2398</v>
      </c>
      <c r="F43" s="1" t="s">
        <v>1317</v>
      </c>
      <c r="G43" s="1" t="s">
        <v>1323</v>
      </c>
    </row>
    <row r="44" spans="1:7">
      <c r="A44" s="1" t="s">
        <v>1365</v>
      </c>
      <c r="B44" s="1" t="s">
        <v>1259</v>
      </c>
      <c r="C44" s="1" t="s">
        <v>657</v>
      </c>
      <c r="D44" s="3">
        <v>46202</v>
      </c>
      <c r="E44" s="1">
        <v>1598</v>
      </c>
      <c r="F44" s="1" t="s">
        <v>1314</v>
      </c>
      <c r="G44" s="1" t="s">
        <v>1320</v>
      </c>
    </row>
    <row r="45" spans="1:7">
      <c r="A45" s="1" t="s">
        <v>1366</v>
      </c>
      <c r="B45" s="1" t="s">
        <v>1260</v>
      </c>
      <c r="C45" s="1" t="s">
        <v>129</v>
      </c>
      <c r="D45" s="3">
        <v>46144</v>
      </c>
      <c r="E45" s="1">
        <v>1799</v>
      </c>
      <c r="F45" s="1" t="s">
        <v>1317</v>
      </c>
      <c r="G45" s="1" t="s">
        <v>1312</v>
      </c>
    </row>
    <row r="46" spans="1:7">
      <c r="A46" s="1" t="s">
        <v>1367</v>
      </c>
      <c r="B46" s="1" t="s">
        <v>1261</v>
      </c>
      <c r="C46" s="1" t="s">
        <v>515</v>
      </c>
      <c r="D46" s="3">
        <v>46096</v>
      </c>
      <c r="E46" s="1">
        <v>2398</v>
      </c>
      <c r="F46" s="1" t="s">
        <v>1311</v>
      </c>
      <c r="G46" s="1" t="s">
        <v>1323</v>
      </c>
    </row>
    <row r="47" spans="1:7">
      <c r="A47" s="1" t="s">
        <v>1368</v>
      </c>
      <c r="B47" s="1" t="s">
        <v>1262</v>
      </c>
      <c r="C47" s="1" t="s">
        <v>381</v>
      </c>
      <c r="D47" s="3">
        <v>46158</v>
      </c>
      <c r="E47" s="1">
        <v>1899</v>
      </c>
      <c r="F47" s="1" t="s">
        <v>1311</v>
      </c>
      <c r="G47" s="1" t="s">
        <v>1323</v>
      </c>
    </row>
    <row r="48" spans="1:7">
      <c r="A48" s="1" t="s">
        <v>1369</v>
      </c>
      <c r="B48" s="1" t="s">
        <v>1264</v>
      </c>
      <c r="C48" s="1" t="s">
        <v>441</v>
      </c>
      <c r="D48" s="3">
        <v>46085</v>
      </c>
      <c r="E48" s="1">
        <v>2499</v>
      </c>
      <c r="F48" s="1" t="s">
        <v>1314</v>
      </c>
      <c r="G48" s="1" t="s">
        <v>1312</v>
      </c>
    </row>
    <row r="49" spans="1:7">
      <c r="A49" s="1" t="s">
        <v>1370</v>
      </c>
      <c r="B49" s="1" t="s">
        <v>1265</v>
      </c>
      <c r="C49" s="1" t="s">
        <v>745</v>
      </c>
      <c r="D49" s="3">
        <v>46205</v>
      </c>
      <c r="E49" s="1">
        <v>4497</v>
      </c>
      <c r="F49" s="1" t="s">
        <v>1314</v>
      </c>
      <c r="G49" s="1" t="s">
        <v>1325</v>
      </c>
    </row>
    <row r="50" spans="1:7">
      <c r="A50" s="1" t="s">
        <v>1371</v>
      </c>
      <c r="B50" s="1" t="s">
        <v>1266</v>
      </c>
      <c r="C50" s="1" t="s">
        <v>576</v>
      </c>
      <c r="D50" s="3">
        <v>46077</v>
      </c>
      <c r="E50" s="1">
        <v>6998</v>
      </c>
      <c r="F50" s="1" t="s">
        <v>1311</v>
      </c>
      <c r="G50" s="1" t="s">
        <v>1323</v>
      </c>
    </row>
    <row r="51" spans="1:7">
      <c r="A51" s="1" t="s">
        <v>1372</v>
      </c>
      <c r="B51" s="1" t="s">
        <v>1268</v>
      </c>
      <c r="C51" s="1" t="s">
        <v>630</v>
      </c>
      <c r="D51" s="3">
        <v>46197</v>
      </c>
      <c r="E51" s="1">
        <v>1598</v>
      </c>
      <c r="F51" s="1" t="s">
        <v>1317</v>
      </c>
      <c r="G51" s="1" t="s">
        <v>1323</v>
      </c>
    </row>
    <row r="52" spans="1:7">
      <c r="A52" s="1" t="s">
        <v>1373</v>
      </c>
      <c r="B52" s="1" t="s">
        <v>1269</v>
      </c>
      <c r="C52" s="1" t="s">
        <v>206</v>
      </c>
      <c r="D52" s="3">
        <v>46203</v>
      </c>
      <c r="E52" s="1">
        <v>1499</v>
      </c>
      <c r="F52" s="1" t="s">
        <v>1311</v>
      </c>
      <c r="G52" s="1" t="s">
        <v>1318</v>
      </c>
    </row>
    <row r="53" spans="1:7">
      <c r="A53" s="1" t="s">
        <v>1374</v>
      </c>
      <c r="B53" s="1" t="s">
        <v>1271</v>
      </c>
      <c r="C53" s="1" t="s">
        <v>715</v>
      </c>
      <c r="D53" s="3">
        <v>46176</v>
      </c>
      <c r="E53" s="1">
        <v>599</v>
      </c>
      <c r="F53" s="1" t="s">
        <v>1311</v>
      </c>
      <c r="G53" s="1" t="s">
        <v>1320</v>
      </c>
    </row>
    <row r="54" spans="1:7">
      <c r="A54" s="1" t="s">
        <v>1375</v>
      </c>
      <c r="B54" s="1" t="s">
        <v>1275</v>
      </c>
      <c r="C54" s="1" t="s">
        <v>79</v>
      </c>
      <c r="D54" s="3">
        <v>46214</v>
      </c>
      <c r="E54" s="1">
        <v>1499</v>
      </c>
      <c r="F54" s="1" t="s">
        <v>1311</v>
      </c>
      <c r="G54" s="1" t="s">
        <v>1318</v>
      </c>
    </row>
    <row r="55" spans="1:7">
      <c r="A55" s="1" t="s">
        <v>1376</v>
      </c>
      <c r="B55" s="1" t="s">
        <v>1279</v>
      </c>
      <c r="C55" s="1" t="s">
        <v>608</v>
      </c>
      <c r="D55" s="3">
        <v>46192</v>
      </c>
      <c r="E55" s="1">
        <v>799</v>
      </c>
      <c r="F55" s="1" t="s">
        <v>1311</v>
      </c>
      <c r="G55" s="1" t="s">
        <v>1323</v>
      </c>
    </row>
    <row r="56" spans="1:7">
      <c r="A56" s="1" t="s">
        <v>1377</v>
      </c>
      <c r="B56" s="1" t="s">
        <v>1280</v>
      </c>
      <c r="C56" s="1" t="s">
        <v>348</v>
      </c>
      <c r="D56" s="3">
        <v>46178</v>
      </c>
      <c r="E56" s="1" t="s">
        <v>1378</v>
      </c>
      <c r="F56" s="1" t="s">
        <v>1311</v>
      </c>
      <c r="G56" s="1" t="s">
        <v>1318</v>
      </c>
    </row>
    <row r="57" spans="1:7">
      <c r="A57" s="1" t="s">
        <v>1379</v>
      </c>
      <c r="B57" s="1" t="s">
        <v>1281</v>
      </c>
      <c r="C57" s="1" t="s">
        <v>448</v>
      </c>
      <c r="D57" s="3">
        <v>46073</v>
      </c>
      <c r="E57" s="1">
        <v>2697</v>
      </c>
      <c r="F57" s="1" t="s">
        <v>1311</v>
      </c>
      <c r="G57" s="1"/>
    </row>
    <row r="58" spans="1:7">
      <c r="A58" s="1" t="s">
        <v>1380</v>
      </c>
      <c r="B58" s="1" t="s">
        <v>1284</v>
      </c>
      <c r="C58" s="1" t="s">
        <v>711</v>
      </c>
      <c r="D58" s="3">
        <v>46082</v>
      </c>
      <c r="E58" s="1">
        <v>1599</v>
      </c>
      <c r="F58" s="1" t="s">
        <v>1317</v>
      </c>
      <c r="G58" s="1" t="s">
        <v>1318</v>
      </c>
    </row>
    <row r="59" spans="1:7">
      <c r="A59" s="1" t="s">
        <v>1381</v>
      </c>
      <c r="B59" s="1" t="s">
        <v>1287</v>
      </c>
      <c r="C59" s="1" t="s">
        <v>388</v>
      </c>
      <c r="D59" s="3">
        <v>46200</v>
      </c>
      <c r="E59" s="1">
        <v>1598</v>
      </c>
      <c r="F59" s="1" t="s">
        <v>1317</v>
      </c>
      <c r="G59" s="1" t="s">
        <v>1320</v>
      </c>
    </row>
    <row r="60" spans="1:7">
      <c r="A60" s="1" t="s">
        <v>1382</v>
      </c>
      <c r="B60" s="1" t="s">
        <v>1288</v>
      </c>
      <c r="C60" s="1" t="s">
        <v>651</v>
      </c>
      <c r="D60" s="3">
        <v>46071</v>
      </c>
      <c r="E60" s="1">
        <v>499</v>
      </c>
      <c r="F60" s="1" t="s">
        <v>1311</v>
      </c>
      <c r="G60" s="1" t="s">
        <v>1318</v>
      </c>
    </row>
    <row r="61" spans="1:7">
      <c r="A61" s="1" t="s">
        <v>1383</v>
      </c>
      <c r="B61" s="1" t="s">
        <v>1290</v>
      </c>
      <c r="C61" s="1" t="s">
        <v>732</v>
      </c>
      <c r="D61" s="3">
        <v>46064</v>
      </c>
      <c r="E61" s="1">
        <v>1999</v>
      </c>
      <c r="F61" s="1" t="s">
        <v>1317</v>
      </c>
      <c r="G61" s="1" t="s">
        <v>1360</v>
      </c>
    </row>
    <row r="62" spans="1:7">
      <c r="A62" s="1" t="s">
        <v>1384</v>
      </c>
      <c r="B62" s="1" t="s">
        <v>1292</v>
      </c>
      <c r="C62" s="1" t="s">
        <v>755</v>
      </c>
      <c r="D62" s="3">
        <v>46217</v>
      </c>
      <c r="E62" s="1">
        <v>599</v>
      </c>
      <c r="F62" s="1" t="s">
        <v>1311</v>
      </c>
      <c r="G62" s="1" t="s">
        <v>1312</v>
      </c>
    </row>
    <row r="63" spans="1:7">
      <c r="A63" s="1" t="s">
        <v>1385</v>
      </c>
      <c r="B63" s="1" t="s">
        <v>1293</v>
      </c>
      <c r="C63" s="1" t="s">
        <v>416</v>
      </c>
      <c r="D63" s="3">
        <v>46221</v>
      </c>
      <c r="E63" s="1">
        <v>2299</v>
      </c>
      <c r="F63" s="1" t="s">
        <v>1314</v>
      </c>
      <c r="G63" s="1" t="s">
        <v>1320</v>
      </c>
    </row>
    <row r="64" spans="1:7">
      <c r="A64" s="1" t="s">
        <v>1386</v>
      </c>
      <c r="B64" s="1" t="s">
        <v>1297</v>
      </c>
      <c r="C64" s="1" t="s">
        <v>112</v>
      </c>
      <c r="D64" s="3">
        <v>46187</v>
      </c>
      <c r="E64" s="1">
        <v>3999</v>
      </c>
      <c r="F64" s="1" t="s">
        <v>1311</v>
      </c>
      <c r="G64" s="1"/>
    </row>
    <row r="65" spans="1:7">
      <c r="A65" s="1" t="s">
        <v>1387</v>
      </c>
      <c r="B65" s="1" t="s">
        <v>1298</v>
      </c>
      <c r="C65" s="1" t="s">
        <v>622</v>
      </c>
      <c r="D65" s="3">
        <v>46109</v>
      </c>
      <c r="E65" s="1">
        <v>5598</v>
      </c>
      <c r="F65" s="1" t="s">
        <v>1317</v>
      </c>
      <c r="G65" s="1" t="s">
        <v>1312</v>
      </c>
    </row>
    <row r="66" spans="1:7">
      <c r="A66" s="1" t="s">
        <v>1388</v>
      </c>
      <c r="B66" s="1" t="s">
        <v>1299</v>
      </c>
      <c r="C66" s="1" t="s">
        <v>27</v>
      </c>
      <c r="D66" s="3">
        <v>46084</v>
      </c>
      <c r="E66" s="1">
        <v>1799</v>
      </c>
      <c r="F66" s="1" t="s">
        <v>1317</v>
      </c>
      <c r="G66" s="1" t="s">
        <v>1312</v>
      </c>
    </row>
    <row r="67" spans="1:7">
      <c r="A67" s="1" t="s">
        <v>1389</v>
      </c>
      <c r="B67" s="1" t="s">
        <v>1300</v>
      </c>
      <c r="C67" s="1" t="s">
        <v>200</v>
      </c>
      <c r="D67" s="1" t="s">
        <v>1390</v>
      </c>
      <c r="E67" s="1">
        <v>3499</v>
      </c>
      <c r="F67" s="1" t="s">
        <v>1311</v>
      </c>
      <c r="G67" s="1" t="s">
        <v>1323</v>
      </c>
    </row>
    <row r="68" spans="1:7">
      <c r="A68" s="1" t="s">
        <v>1391</v>
      </c>
      <c r="B68" s="1" t="s">
        <v>1301</v>
      </c>
      <c r="C68" s="1" t="s">
        <v>751</v>
      </c>
      <c r="D68" s="3">
        <v>46164</v>
      </c>
      <c r="E68" s="1" t="s">
        <v>1357</v>
      </c>
      <c r="F68" s="1" t="s">
        <v>1311</v>
      </c>
      <c r="G68" s="1" t="s">
        <v>1318</v>
      </c>
    </row>
    <row r="69" spans="1:7">
      <c r="A69" s="1" t="s">
        <v>1392</v>
      </c>
      <c r="B69" s="1" t="s">
        <v>1230</v>
      </c>
      <c r="C69" s="1" t="s">
        <v>230</v>
      </c>
      <c r="D69" s="1" t="s">
        <v>1393</v>
      </c>
      <c r="E69" s="1">
        <v>1499</v>
      </c>
      <c r="F69" s="1" t="s">
        <v>1314</v>
      </c>
      <c r="G69" s="1" t="s">
        <v>1320</v>
      </c>
    </row>
    <row r="70" spans="1:7">
      <c r="A70" s="1" t="s">
        <v>1394</v>
      </c>
      <c r="B70" s="1" t="s">
        <v>1238</v>
      </c>
      <c r="C70" s="1" t="s">
        <v>675</v>
      </c>
      <c r="D70" s="3">
        <v>46165</v>
      </c>
      <c r="E70" s="1">
        <v>1598</v>
      </c>
      <c r="F70" s="1" t="s">
        <v>1311</v>
      </c>
      <c r="G70" s="1" t="s">
        <v>1312</v>
      </c>
    </row>
    <row r="71" spans="1:7">
      <c r="A71" s="1" t="s">
        <v>1395</v>
      </c>
      <c r="B71" s="1" t="s">
        <v>1190</v>
      </c>
      <c r="C71" s="1" t="s">
        <v>600</v>
      </c>
      <c r="D71" s="3">
        <v>46101</v>
      </c>
      <c r="E71" s="1">
        <v>999</v>
      </c>
      <c r="F71" s="1" t="s">
        <v>1311</v>
      </c>
      <c r="G71" s="1" t="s">
        <v>1312</v>
      </c>
    </row>
    <row r="72" spans="1:7">
      <c r="A72" s="1" t="s">
        <v>1396</v>
      </c>
      <c r="B72" s="1" t="s">
        <v>1275</v>
      </c>
      <c r="C72" s="1" t="s">
        <v>79</v>
      </c>
      <c r="D72" s="3">
        <v>46216</v>
      </c>
      <c r="E72" s="1">
        <v>1499</v>
      </c>
      <c r="F72" s="1" t="s">
        <v>1311</v>
      </c>
      <c r="G72" s="1" t="s">
        <v>1348</v>
      </c>
    </row>
    <row r="73" spans="1:7">
      <c r="A73" s="1" t="s">
        <v>1397</v>
      </c>
      <c r="B73" s="1" t="s">
        <v>1266</v>
      </c>
      <c r="C73" s="1" t="s">
        <v>576</v>
      </c>
      <c r="D73" s="3">
        <v>46079</v>
      </c>
      <c r="E73" s="1">
        <v>6998</v>
      </c>
      <c r="F73" s="1" t="s">
        <v>1311</v>
      </c>
      <c r="G73" s="1" t="s">
        <v>1315</v>
      </c>
    </row>
    <row r="74" spans="1:7">
      <c r="A74" s="1" t="s">
        <v>1398</v>
      </c>
      <c r="B74" s="1" t="s">
        <v>1183</v>
      </c>
      <c r="C74" s="1" t="s">
        <v>44</v>
      </c>
      <c r="D74" s="3">
        <v>46168</v>
      </c>
      <c r="E74" s="1">
        <v>499</v>
      </c>
      <c r="F74" s="1" t="s">
        <v>1311</v>
      </c>
      <c r="G74" s="1" t="s">
        <v>1312</v>
      </c>
    </row>
    <row r="75" spans="1:7">
      <c r="A75" s="1" t="s">
        <v>1399</v>
      </c>
      <c r="B75" s="1" t="s">
        <v>1290</v>
      </c>
      <c r="C75" s="1" t="s">
        <v>732</v>
      </c>
      <c r="D75" s="3">
        <v>46066</v>
      </c>
      <c r="E75" s="1">
        <v>1999</v>
      </c>
      <c r="F75" s="1" t="s">
        <v>1317</v>
      </c>
      <c r="G75" s="1" t="s">
        <v>1312</v>
      </c>
    </row>
    <row r="76" spans="1:7">
      <c r="A76" s="1" t="s">
        <v>1400</v>
      </c>
      <c r="B76" s="1" t="s">
        <v>1401</v>
      </c>
      <c r="C76" s="1" t="s">
        <v>53</v>
      </c>
      <c r="D76" s="3">
        <v>46126</v>
      </c>
      <c r="E76" s="1">
        <v>3499</v>
      </c>
      <c r="F76" s="1" t="s">
        <v>1314</v>
      </c>
      <c r="G76" s="1" t="s">
        <v>1320</v>
      </c>
    </row>
    <row r="77" spans="1:7">
      <c r="A77" s="1" t="s">
        <v>1402</v>
      </c>
      <c r="B77" s="1"/>
      <c r="C77" s="1" t="s">
        <v>466</v>
      </c>
      <c r="D77" s="3">
        <v>46227</v>
      </c>
      <c r="E77" s="1">
        <v>6598</v>
      </c>
      <c r="F77" s="1" t="s">
        <v>1314</v>
      </c>
      <c r="G77" s="1" t="s">
        <v>1320</v>
      </c>
    </row>
    <row r="78" spans="1:7">
      <c r="A78" s="1" t="s">
        <v>1403</v>
      </c>
      <c r="B78" s="1" t="s">
        <v>1404</v>
      </c>
      <c r="C78" s="1" t="s">
        <v>531</v>
      </c>
      <c r="D78" s="3">
        <v>46193</v>
      </c>
      <c r="E78" s="1">
        <v>499</v>
      </c>
      <c r="F78" s="1" t="s">
        <v>1314</v>
      </c>
      <c r="G78" s="1" t="s">
        <v>1312</v>
      </c>
    </row>
    <row r="79" spans="1:7">
      <c r="A79" s="1" t="s">
        <v>1405</v>
      </c>
      <c r="B79" s="1"/>
      <c r="C79" s="1" t="s">
        <v>650</v>
      </c>
      <c r="D79" s="3">
        <v>46188</v>
      </c>
      <c r="E79" s="1">
        <v>3499</v>
      </c>
      <c r="F79" s="1" t="s">
        <v>1314</v>
      </c>
      <c r="G79" s="1" t="s">
        <v>1312</v>
      </c>
    </row>
    <row r="80" spans="1:7">
      <c r="A80" s="1" t="s">
        <v>1406</v>
      </c>
      <c r="B80" s="1"/>
      <c r="C80" s="1" t="s">
        <v>755</v>
      </c>
      <c r="D80" s="3">
        <v>46221</v>
      </c>
      <c r="E80" s="1">
        <v>599</v>
      </c>
      <c r="F80" s="1" t="s">
        <v>1314</v>
      </c>
      <c r="G80" s="1" t="s">
        <v>1325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C082-BA00-49F7-B773-18DCC7F927EC}">
  <dimension ref="A1:J80"/>
  <sheetViews>
    <sheetView workbookViewId="0">
      <selection activeCell="K12" sqref="K12"/>
    </sheetView>
  </sheetViews>
  <sheetFormatPr defaultRowHeight="15"/>
  <cols>
    <col min="1" max="1" width="12.5703125" bestFit="1" customWidth="1"/>
    <col min="2" max="2" width="12.140625" bestFit="1" customWidth="1"/>
    <col min="3" max="3" width="11.28515625" bestFit="1" customWidth="1"/>
    <col min="4" max="4" width="14.85546875" bestFit="1" customWidth="1"/>
    <col min="5" max="6" width="18" bestFit="1" customWidth="1"/>
    <col min="7" max="7" width="15.140625" bestFit="1" customWidth="1"/>
    <col min="8" max="8" width="24.28515625" bestFit="1" customWidth="1"/>
    <col min="9" max="9" width="23.42578125" bestFit="1" customWidth="1"/>
  </cols>
  <sheetData>
    <row r="1" spans="1:10">
      <c r="A1" t="s">
        <v>1305</v>
      </c>
      <c r="B1" t="s">
        <v>1178</v>
      </c>
      <c r="C1" t="s">
        <v>0</v>
      </c>
      <c r="D1" t="s">
        <v>1306</v>
      </c>
      <c r="E1" t="s">
        <v>1307</v>
      </c>
      <c r="F1" t="s">
        <v>1308</v>
      </c>
      <c r="G1" t="s">
        <v>1309</v>
      </c>
      <c r="H1" t="s">
        <v>1424</v>
      </c>
      <c r="I1" t="s">
        <v>1407</v>
      </c>
      <c r="J1" t="s">
        <v>1427</v>
      </c>
    </row>
    <row r="2" spans="1:10">
      <c r="A2" t="s">
        <v>1310</v>
      </c>
      <c r="B2" t="s">
        <v>1183</v>
      </c>
      <c r="C2" t="s">
        <v>44</v>
      </c>
      <c r="D2" s="6">
        <v>46167</v>
      </c>
      <c r="E2">
        <v>499</v>
      </c>
      <c r="F2" t="s">
        <v>1311</v>
      </c>
      <c r="G2" t="s">
        <v>1312</v>
      </c>
      <c r="H2">
        <v>499</v>
      </c>
      <c r="I2" t="s">
        <v>1409</v>
      </c>
    </row>
    <row r="3" spans="1:10">
      <c r="A3" t="s">
        <v>1313</v>
      </c>
      <c r="B3" t="s">
        <v>1186</v>
      </c>
      <c r="C3" t="s">
        <v>343</v>
      </c>
      <c r="D3" s="6">
        <v>46123</v>
      </c>
      <c r="E3">
        <v>599</v>
      </c>
      <c r="F3" t="s">
        <v>1314</v>
      </c>
      <c r="G3" t="s">
        <v>1323</v>
      </c>
      <c r="H3">
        <v>599</v>
      </c>
      <c r="I3" t="s">
        <v>1409</v>
      </c>
    </row>
    <row r="4" spans="1:10">
      <c r="A4" t="s">
        <v>1316</v>
      </c>
      <c r="B4" t="s">
        <v>1187</v>
      </c>
      <c r="C4" t="s">
        <v>716</v>
      </c>
      <c r="D4" s="6">
        <v>46080</v>
      </c>
      <c r="E4">
        <v>2799</v>
      </c>
      <c r="F4" t="s">
        <v>1317</v>
      </c>
      <c r="G4" t="s">
        <v>1318</v>
      </c>
      <c r="H4">
        <v>2799</v>
      </c>
      <c r="I4" t="s">
        <v>1409</v>
      </c>
    </row>
    <row r="5" spans="1:10">
      <c r="A5" t="s">
        <v>1319</v>
      </c>
      <c r="B5" t="s">
        <v>1188</v>
      </c>
      <c r="C5" t="s">
        <v>677</v>
      </c>
      <c r="D5" s="6">
        <v>46201</v>
      </c>
      <c r="E5">
        <v>1499</v>
      </c>
      <c r="F5" t="s">
        <v>1317</v>
      </c>
      <c r="G5" t="s">
        <v>1320</v>
      </c>
      <c r="H5">
        <v>1499</v>
      </c>
      <c r="I5" t="s">
        <v>1409</v>
      </c>
    </row>
    <row r="6" spans="1:10">
      <c r="A6" t="s">
        <v>1321</v>
      </c>
      <c r="B6" t="s">
        <v>1190</v>
      </c>
      <c r="C6" t="s">
        <v>600</v>
      </c>
      <c r="D6" s="6">
        <v>46099</v>
      </c>
      <c r="E6">
        <v>999</v>
      </c>
      <c r="F6" t="s">
        <v>1311</v>
      </c>
      <c r="G6" t="s">
        <v>1312</v>
      </c>
      <c r="H6">
        <v>999</v>
      </c>
      <c r="I6" t="s">
        <v>1409</v>
      </c>
    </row>
    <row r="7" spans="1:10">
      <c r="A7" t="s">
        <v>1322</v>
      </c>
      <c r="B7" t="s">
        <v>1192</v>
      </c>
      <c r="C7" t="s">
        <v>139</v>
      </c>
      <c r="D7" s="6">
        <v>46093</v>
      </c>
      <c r="E7">
        <v>999</v>
      </c>
      <c r="F7" t="s">
        <v>1314</v>
      </c>
      <c r="G7" t="s">
        <v>1323</v>
      </c>
      <c r="H7">
        <v>999</v>
      </c>
      <c r="I7" t="s">
        <v>1409</v>
      </c>
    </row>
    <row r="8" spans="1:10">
      <c r="A8" t="s">
        <v>1324</v>
      </c>
      <c r="B8" t="s">
        <v>1194</v>
      </c>
      <c r="C8" t="s">
        <v>365</v>
      </c>
      <c r="D8" s="6">
        <v>46086</v>
      </c>
      <c r="E8">
        <v>1199</v>
      </c>
      <c r="F8" t="s">
        <v>1314</v>
      </c>
      <c r="G8" t="s">
        <v>1320</v>
      </c>
      <c r="H8">
        <v>1199</v>
      </c>
      <c r="I8" t="s">
        <v>1409</v>
      </c>
    </row>
    <row r="9" spans="1:10">
      <c r="A9" t="s">
        <v>1326</v>
      </c>
      <c r="B9" t="s">
        <v>1198</v>
      </c>
      <c r="C9" t="s">
        <v>520</v>
      </c>
      <c r="D9" s="6">
        <v>46076</v>
      </c>
      <c r="E9">
        <v>7998</v>
      </c>
      <c r="F9" t="s">
        <v>1317</v>
      </c>
      <c r="G9" t="s">
        <v>1320</v>
      </c>
      <c r="H9">
        <v>7998</v>
      </c>
      <c r="I9" t="s">
        <v>1409</v>
      </c>
    </row>
    <row r="10" spans="1:10">
      <c r="A10" t="s">
        <v>1327</v>
      </c>
      <c r="B10" t="s">
        <v>1200</v>
      </c>
      <c r="C10" t="s">
        <v>572</v>
      </c>
      <c r="D10" s="6">
        <v>46108</v>
      </c>
      <c r="E10">
        <v>2698</v>
      </c>
      <c r="F10" t="s">
        <v>1317</v>
      </c>
      <c r="G10" t="s">
        <v>1320</v>
      </c>
      <c r="H10">
        <v>2698</v>
      </c>
      <c r="I10" t="s">
        <v>1409</v>
      </c>
    </row>
    <row r="11" spans="1:10">
      <c r="A11" t="s">
        <v>1328</v>
      </c>
      <c r="B11" t="s">
        <v>1205</v>
      </c>
      <c r="C11" t="s">
        <v>404</v>
      </c>
      <c r="D11" s="6">
        <v>46072</v>
      </c>
      <c r="E11">
        <v>2199</v>
      </c>
      <c r="F11" t="s">
        <v>1317</v>
      </c>
      <c r="G11" t="s">
        <v>1318</v>
      </c>
      <c r="H11">
        <v>2199</v>
      </c>
      <c r="I11" t="s">
        <v>1409</v>
      </c>
    </row>
    <row r="12" spans="1:10">
      <c r="A12" t="s">
        <v>1329</v>
      </c>
      <c r="B12" t="s">
        <v>1207</v>
      </c>
      <c r="C12" t="s">
        <v>254</v>
      </c>
      <c r="D12" s="6">
        <v>46214</v>
      </c>
      <c r="E12">
        <v>6397</v>
      </c>
      <c r="F12" t="s">
        <v>1317</v>
      </c>
      <c r="G12" t="s">
        <v>1323</v>
      </c>
      <c r="H12">
        <v>6397</v>
      </c>
      <c r="I12" t="s">
        <v>1409</v>
      </c>
    </row>
    <row r="13" spans="1:10">
      <c r="A13" t="s">
        <v>1331</v>
      </c>
      <c r="B13" t="s">
        <v>1210</v>
      </c>
      <c r="C13" t="s">
        <v>407</v>
      </c>
      <c r="D13" s="6">
        <v>46145</v>
      </c>
      <c r="E13">
        <v>499</v>
      </c>
      <c r="F13" t="s">
        <v>1314</v>
      </c>
      <c r="G13" t="s">
        <v>1312</v>
      </c>
      <c r="H13">
        <v>499</v>
      </c>
      <c r="I13" t="s">
        <v>1409</v>
      </c>
    </row>
    <row r="14" spans="1:10">
      <c r="A14" t="s">
        <v>1332</v>
      </c>
      <c r="B14" t="s">
        <v>1212</v>
      </c>
      <c r="C14" t="s">
        <v>116</v>
      </c>
      <c r="D14" s="6">
        <v>46089</v>
      </c>
      <c r="E14">
        <v>6897</v>
      </c>
      <c r="F14" t="s">
        <v>1311</v>
      </c>
      <c r="G14" t="s">
        <v>1320</v>
      </c>
      <c r="H14">
        <v>6897</v>
      </c>
      <c r="I14" t="s">
        <v>1409</v>
      </c>
    </row>
    <row r="15" spans="1:10">
      <c r="A15" t="s">
        <v>1333</v>
      </c>
      <c r="B15" t="s">
        <v>1214</v>
      </c>
      <c r="C15" t="s">
        <v>682</v>
      </c>
      <c r="D15" s="6">
        <v>46192</v>
      </c>
      <c r="E15">
        <v>1999</v>
      </c>
      <c r="F15" t="s">
        <v>1314</v>
      </c>
      <c r="G15" t="s">
        <v>1323</v>
      </c>
      <c r="H15">
        <v>1999</v>
      </c>
      <c r="I15" t="s">
        <v>1409</v>
      </c>
    </row>
    <row r="16" spans="1:10">
      <c r="A16" t="s">
        <v>1334</v>
      </c>
      <c r="B16" t="s">
        <v>1215</v>
      </c>
      <c r="C16" t="s">
        <v>410</v>
      </c>
      <c r="D16" s="6">
        <v>46088</v>
      </c>
      <c r="E16">
        <v>2199</v>
      </c>
      <c r="F16" t="s">
        <v>1314</v>
      </c>
      <c r="G16" t="s">
        <v>1323</v>
      </c>
      <c r="H16">
        <v>2199</v>
      </c>
      <c r="I16" t="s">
        <v>1409</v>
      </c>
    </row>
    <row r="17" spans="1:9">
      <c r="A17" t="s">
        <v>1335</v>
      </c>
      <c r="B17" t="s">
        <v>1216</v>
      </c>
      <c r="C17" t="s">
        <v>672</v>
      </c>
      <c r="D17" s="6">
        <v>46175</v>
      </c>
      <c r="E17">
        <v>1999</v>
      </c>
      <c r="F17" t="s">
        <v>1311</v>
      </c>
      <c r="G17" t="s">
        <v>1312</v>
      </c>
      <c r="H17">
        <v>1999</v>
      </c>
      <c r="I17" t="s">
        <v>1409</v>
      </c>
    </row>
    <row r="18" spans="1:9">
      <c r="A18" t="s">
        <v>1336</v>
      </c>
      <c r="B18" t="s">
        <v>1217</v>
      </c>
      <c r="C18" t="s">
        <v>298</v>
      </c>
      <c r="D18" s="6">
        <v>46219</v>
      </c>
      <c r="E18">
        <v>2499</v>
      </c>
      <c r="F18" t="s">
        <v>1317</v>
      </c>
      <c r="G18" t="s">
        <v>1323</v>
      </c>
      <c r="H18">
        <v>2499</v>
      </c>
      <c r="I18" t="s">
        <v>1409</v>
      </c>
    </row>
    <row r="19" spans="1:9">
      <c r="A19" t="s">
        <v>1337</v>
      </c>
      <c r="B19" t="s">
        <v>1218</v>
      </c>
      <c r="C19" t="s">
        <v>664</v>
      </c>
      <c r="D19" s="6">
        <v>46065</v>
      </c>
      <c r="E19">
        <v>499</v>
      </c>
      <c r="F19" t="s">
        <v>1314</v>
      </c>
      <c r="G19" t="s">
        <v>1318</v>
      </c>
      <c r="H19">
        <v>499</v>
      </c>
      <c r="I19" t="s">
        <v>1409</v>
      </c>
    </row>
    <row r="20" spans="1:9">
      <c r="A20" t="s">
        <v>1338</v>
      </c>
      <c r="B20" t="s">
        <v>1219</v>
      </c>
      <c r="C20" t="s">
        <v>101</v>
      </c>
      <c r="D20" s="6">
        <v>46164</v>
      </c>
      <c r="E20">
        <v>1499</v>
      </c>
      <c r="F20" t="s">
        <v>1317</v>
      </c>
      <c r="G20" t="s">
        <v>1318</v>
      </c>
      <c r="H20">
        <v>1499</v>
      </c>
      <c r="I20" t="s">
        <v>1409</v>
      </c>
    </row>
    <row r="21" spans="1:9">
      <c r="A21" t="s">
        <v>1339</v>
      </c>
      <c r="B21" t="s">
        <v>1220</v>
      </c>
      <c r="C21" t="s">
        <v>384</v>
      </c>
      <c r="D21" s="6">
        <v>46197</v>
      </c>
      <c r="E21">
        <v>4497</v>
      </c>
      <c r="F21" t="s">
        <v>1311</v>
      </c>
      <c r="G21" t="s">
        <v>1323</v>
      </c>
      <c r="H21">
        <v>4497</v>
      </c>
      <c r="I21" t="s">
        <v>1409</v>
      </c>
    </row>
    <row r="22" spans="1:9">
      <c r="A22" t="s">
        <v>1340</v>
      </c>
      <c r="B22" t="s">
        <v>1221</v>
      </c>
      <c r="C22" t="s">
        <v>639</v>
      </c>
      <c r="D22" s="6">
        <v>46061</v>
      </c>
      <c r="E22">
        <v>2598</v>
      </c>
      <c r="F22" t="s">
        <v>1311</v>
      </c>
      <c r="G22" t="s">
        <v>1312</v>
      </c>
      <c r="H22">
        <v>2598</v>
      </c>
      <c r="I22" t="s">
        <v>1409</v>
      </c>
    </row>
    <row r="23" spans="1:9">
      <c r="A23" t="s">
        <v>1341</v>
      </c>
      <c r="B23" t="s">
        <v>1223</v>
      </c>
      <c r="C23" t="s">
        <v>601</v>
      </c>
      <c r="D23" s="6">
        <v>46165</v>
      </c>
      <c r="E23">
        <v>1999</v>
      </c>
      <c r="F23" t="s">
        <v>1311</v>
      </c>
      <c r="G23" t="s">
        <v>1312</v>
      </c>
      <c r="H23">
        <v>1999</v>
      </c>
      <c r="I23" t="s">
        <v>1409</v>
      </c>
    </row>
    <row r="24" spans="1:9">
      <c r="A24" t="s">
        <v>1342</v>
      </c>
      <c r="B24" t="s">
        <v>1227</v>
      </c>
      <c r="C24" t="s">
        <v>746</v>
      </c>
      <c r="D24" s="6">
        <v>46213</v>
      </c>
      <c r="E24">
        <v>2299</v>
      </c>
      <c r="F24" t="s">
        <v>1317</v>
      </c>
      <c r="G24" t="s">
        <v>1323</v>
      </c>
      <c r="H24">
        <v>2299</v>
      </c>
      <c r="I24" t="s">
        <v>1409</v>
      </c>
    </row>
    <row r="25" spans="1:9">
      <c r="A25" t="s">
        <v>1343</v>
      </c>
      <c r="B25" t="s">
        <v>1229</v>
      </c>
      <c r="C25" t="s">
        <v>658</v>
      </c>
      <c r="D25" s="6">
        <v>46109</v>
      </c>
      <c r="E25">
        <v>1999</v>
      </c>
      <c r="F25" t="s">
        <v>1314</v>
      </c>
      <c r="G25" t="s">
        <v>1312</v>
      </c>
      <c r="H25">
        <v>1999</v>
      </c>
      <c r="I25" t="s">
        <v>1409</v>
      </c>
    </row>
    <row r="26" spans="1:9">
      <c r="A26" t="s">
        <v>1344</v>
      </c>
      <c r="B26" t="s">
        <v>1230</v>
      </c>
      <c r="C26" t="s">
        <v>230</v>
      </c>
      <c r="D26" s="6">
        <v>46206</v>
      </c>
      <c r="E26">
        <v>1499</v>
      </c>
      <c r="F26" t="s">
        <v>1314</v>
      </c>
      <c r="G26" t="s">
        <v>1320</v>
      </c>
      <c r="H26">
        <v>1499</v>
      </c>
      <c r="I26" t="s">
        <v>1409</v>
      </c>
    </row>
    <row r="27" spans="1:9">
      <c r="A27" t="s">
        <v>1345</v>
      </c>
      <c r="B27" t="s">
        <v>1231</v>
      </c>
      <c r="C27" t="s">
        <v>689</v>
      </c>
      <c r="D27" s="6">
        <v>46173</v>
      </c>
      <c r="E27">
        <v>5598</v>
      </c>
      <c r="F27" t="s">
        <v>1314</v>
      </c>
      <c r="G27" t="s">
        <v>1417</v>
      </c>
      <c r="H27">
        <v>5598</v>
      </c>
      <c r="I27" t="s">
        <v>1409</v>
      </c>
    </row>
    <row r="28" spans="1:9">
      <c r="A28" t="s">
        <v>1346</v>
      </c>
      <c r="B28" t="s">
        <v>1235</v>
      </c>
      <c r="C28" t="s">
        <v>573</v>
      </c>
      <c r="D28" s="6">
        <v>46068</v>
      </c>
      <c r="E28">
        <v>11997</v>
      </c>
      <c r="F28" t="s">
        <v>1311</v>
      </c>
      <c r="G28" t="s">
        <v>1323</v>
      </c>
      <c r="H28">
        <v>11997</v>
      </c>
      <c r="I28" t="s">
        <v>1409</v>
      </c>
    </row>
    <row r="29" spans="1:9">
      <c r="A29" t="s">
        <v>1347</v>
      </c>
      <c r="B29" t="s">
        <v>1237</v>
      </c>
      <c r="C29" t="s">
        <v>525</v>
      </c>
      <c r="D29" s="6">
        <v>46209</v>
      </c>
      <c r="E29">
        <v>2299</v>
      </c>
      <c r="F29" t="s">
        <v>1314</v>
      </c>
      <c r="G29" t="s">
        <v>1318</v>
      </c>
      <c r="H29">
        <v>2299</v>
      </c>
      <c r="I29" t="s">
        <v>1409</v>
      </c>
    </row>
    <row r="30" spans="1:9">
      <c r="A30" t="s">
        <v>1349</v>
      </c>
      <c r="B30" t="s">
        <v>1238</v>
      </c>
      <c r="C30" t="s">
        <v>675</v>
      </c>
      <c r="D30" s="6">
        <v>46161</v>
      </c>
      <c r="E30">
        <v>1598</v>
      </c>
      <c r="F30" t="s">
        <v>1311</v>
      </c>
      <c r="G30" t="s">
        <v>1312</v>
      </c>
      <c r="H30">
        <v>1598</v>
      </c>
      <c r="I30" t="s">
        <v>1409</v>
      </c>
    </row>
    <row r="31" spans="1:9">
      <c r="A31" t="s">
        <v>1350</v>
      </c>
      <c r="B31" t="s">
        <v>1239</v>
      </c>
      <c r="C31" t="s">
        <v>659</v>
      </c>
      <c r="D31" s="6">
        <v>46186</v>
      </c>
      <c r="E31">
        <v>-5397</v>
      </c>
      <c r="F31" t="s">
        <v>1311</v>
      </c>
      <c r="G31" t="s">
        <v>1312</v>
      </c>
      <c r="H31">
        <v>5397</v>
      </c>
      <c r="I31" t="s">
        <v>1425</v>
      </c>
    </row>
    <row r="32" spans="1:9">
      <c r="A32" t="s">
        <v>1351</v>
      </c>
      <c r="B32" t="s">
        <v>1241</v>
      </c>
      <c r="C32" t="s">
        <v>685</v>
      </c>
      <c r="D32" s="6">
        <v>46122</v>
      </c>
      <c r="E32">
        <v>2299</v>
      </c>
      <c r="F32" t="s">
        <v>1314</v>
      </c>
      <c r="G32" t="s">
        <v>1318</v>
      </c>
      <c r="H32">
        <v>2299</v>
      </c>
      <c r="I32" t="s">
        <v>1409</v>
      </c>
    </row>
    <row r="33" spans="1:9">
      <c r="A33" t="s">
        <v>1352</v>
      </c>
      <c r="B33" t="s">
        <v>1242</v>
      </c>
      <c r="C33" t="s">
        <v>598</v>
      </c>
      <c r="D33" s="6">
        <v>46039</v>
      </c>
      <c r="E33">
        <v>3198</v>
      </c>
      <c r="F33" t="s">
        <v>1311</v>
      </c>
      <c r="G33" t="s">
        <v>1323</v>
      </c>
      <c r="H33">
        <v>3198</v>
      </c>
      <c r="I33" t="s">
        <v>1409</v>
      </c>
    </row>
    <row r="34" spans="1:9">
      <c r="A34" t="s">
        <v>1353</v>
      </c>
      <c r="B34" t="s">
        <v>1243</v>
      </c>
      <c r="C34" t="s">
        <v>18</v>
      </c>
      <c r="D34" s="6">
        <v>46154</v>
      </c>
      <c r="E34">
        <v>3299</v>
      </c>
      <c r="F34" t="s">
        <v>1314</v>
      </c>
      <c r="G34" t="s">
        <v>1312</v>
      </c>
      <c r="H34">
        <v>3299</v>
      </c>
      <c r="I34" t="s">
        <v>1409</v>
      </c>
    </row>
    <row r="35" spans="1:9">
      <c r="A35" t="s">
        <v>1354</v>
      </c>
      <c r="B35" t="s">
        <v>1244</v>
      </c>
      <c r="C35" t="s">
        <v>556</v>
      </c>
      <c r="D35" s="6">
        <v>46152</v>
      </c>
      <c r="E35">
        <v>1998</v>
      </c>
      <c r="F35" t="s">
        <v>1314</v>
      </c>
      <c r="G35" t="s">
        <v>1323</v>
      </c>
      <c r="H35">
        <v>1998</v>
      </c>
      <c r="I35" t="s">
        <v>1409</v>
      </c>
    </row>
    <row r="36" spans="1:9">
      <c r="A36" t="s">
        <v>1355</v>
      </c>
      <c r="B36" t="s">
        <v>1245</v>
      </c>
      <c r="C36" t="s">
        <v>721</v>
      </c>
      <c r="D36" s="6">
        <v>46072</v>
      </c>
      <c r="E36">
        <v>1199</v>
      </c>
      <c r="F36" t="s">
        <v>1311</v>
      </c>
      <c r="G36" t="s">
        <v>1323</v>
      </c>
      <c r="H36">
        <v>1199</v>
      </c>
      <c r="I36" t="s">
        <v>1409</v>
      </c>
    </row>
    <row r="37" spans="1:9">
      <c r="A37" t="s">
        <v>1356</v>
      </c>
      <c r="B37" t="s">
        <v>1246</v>
      </c>
      <c r="C37" t="s">
        <v>290</v>
      </c>
      <c r="D37" s="6">
        <v>46112</v>
      </c>
      <c r="E37" t="s">
        <v>1357</v>
      </c>
      <c r="F37" t="s">
        <v>1317</v>
      </c>
      <c r="G37" t="s">
        <v>1323</v>
      </c>
      <c r="H37">
        <v>2299</v>
      </c>
      <c r="I37" t="s">
        <v>1426</v>
      </c>
    </row>
    <row r="38" spans="1:9">
      <c r="A38" t="s">
        <v>1358</v>
      </c>
      <c r="B38" t="s">
        <v>1248</v>
      </c>
      <c r="C38" t="s">
        <v>339</v>
      </c>
      <c r="D38" s="6">
        <v>46082</v>
      </c>
      <c r="E38">
        <v>6598</v>
      </c>
      <c r="F38" t="s">
        <v>1314</v>
      </c>
      <c r="G38" t="s">
        <v>1318</v>
      </c>
      <c r="H38">
        <v>6598</v>
      </c>
      <c r="I38" t="s">
        <v>1409</v>
      </c>
    </row>
    <row r="39" spans="1:9">
      <c r="A39" t="s">
        <v>1359</v>
      </c>
      <c r="B39" t="s">
        <v>1249</v>
      </c>
      <c r="C39" t="s">
        <v>570</v>
      </c>
      <c r="D39" s="6">
        <v>46132</v>
      </c>
      <c r="E39">
        <v>1499</v>
      </c>
      <c r="F39" t="s">
        <v>1311</v>
      </c>
      <c r="G39" t="s">
        <v>1312</v>
      </c>
      <c r="H39">
        <v>1499</v>
      </c>
      <c r="I39" t="s">
        <v>1409</v>
      </c>
    </row>
    <row r="40" spans="1:9">
      <c r="A40" t="s">
        <v>1361</v>
      </c>
      <c r="B40" t="s">
        <v>1252</v>
      </c>
      <c r="C40" t="s">
        <v>770</v>
      </c>
      <c r="D40" s="6">
        <v>46201</v>
      </c>
      <c r="E40">
        <v>2199</v>
      </c>
      <c r="F40" t="s">
        <v>1311</v>
      </c>
      <c r="G40" t="s">
        <v>1312</v>
      </c>
      <c r="H40">
        <v>2199</v>
      </c>
      <c r="I40" t="s">
        <v>1409</v>
      </c>
    </row>
    <row r="41" spans="1:9">
      <c r="A41" t="s">
        <v>1362</v>
      </c>
      <c r="B41" t="s">
        <v>1254</v>
      </c>
      <c r="C41" t="s">
        <v>579</v>
      </c>
      <c r="D41" s="6">
        <v>46223</v>
      </c>
      <c r="E41">
        <v>-3499</v>
      </c>
      <c r="F41" t="s">
        <v>1317</v>
      </c>
      <c r="G41" t="s">
        <v>1320</v>
      </c>
      <c r="H41">
        <v>3499</v>
      </c>
      <c r="I41" t="s">
        <v>1425</v>
      </c>
    </row>
    <row r="42" spans="1:9">
      <c r="A42" t="s">
        <v>1363</v>
      </c>
      <c r="B42" t="s">
        <v>1256</v>
      </c>
      <c r="C42" t="s">
        <v>287</v>
      </c>
      <c r="D42" s="6">
        <v>46211</v>
      </c>
      <c r="E42">
        <v>1999</v>
      </c>
      <c r="F42" t="s">
        <v>1311</v>
      </c>
      <c r="G42" t="s">
        <v>1312</v>
      </c>
      <c r="H42">
        <v>1999</v>
      </c>
      <c r="I42" t="s">
        <v>1409</v>
      </c>
    </row>
    <row r="43" spans="1:9">
      <c r="A43" t="s">
        <v>1364</v>
      </c>
      <c r="B43" t="s">
        <v>1257</v>
      </c>
      <c r="C43" t="s">
        <v>246</v>
      </c>
      <c r="D43" s="6">
        <v>46213</v>
      </c>
      <c r="E43">
        <v>2398</v>
      </c>
      <c r="F43" t="s">
        <v>1317</v>
      </c>
      <c r="G43" t="s">
        <v>1323</v>
      </c>
      <c r="H43">
        <v>2398</v>
      </c>
      <c r="I43" t="s">
        <v>1409</v>
      </c>
    </row>
    <row r="44" spans="1:9">
      <c r="A44" t="s">
        <v>1365</v>
      </c>
      <c r="B44" t="s">
        <v>1259</v>
      </c>
      <c r="C44" t="s">
        <v>657</v>
      </c>
      <c r="D44" s="6">
        <v>46202</v>
      </c>
      <c r="E44">
        <v>1598</v>
      </c>
      <c r="F44" t="s">
        <v>1314</v>
      </c>
      <c r="G44" t="s">
        <v>1320</v>
      </c>
      <c r="H44">
        <v>1598</v>
      </c>
      <c r="I44" t="s">
        <v>1409</v>
      </c>
    </row>
    <row r="45" spans="1:9">
      <c r="A45" t="s">
        <v>1366</v>
      </c>
      <c r="B45" t="s">
        <v>1260</v>
      </c>
      <c r="C45" t="s">
        <v>129</v>
      </c>
      <c r="D45" s="6">
        <v>46144</v>
      </c>
      <c r="E45">
        <v>1799</v>
      </c>
      <c r="F45" t="s">
        <v>1317</v>
      </c>
      <c r="G45" t="s">
        <v>1312</v>
      </c>
      <c r="H45">
        <v>1799</v>
      </c>
      <c r="I45" t="s">
        <v>1409</v>
      </c>
    </row>
    <row r="46" spans="1:9">
      <c r="A46" t="s">
        <v>1367</v>
      </c>
      <c r="B46" t="s">
        <v>1261</v>
      </c>
      <c r="C46" t="s">
        <v>515</v>
      </c>
      <c r="D46" s="6">
        <v>46096</v>
      </c>
      <c r="E46">
        <v>2398</v>
      </c>
      <c r="F46" t="s">
        <v>1311</v>
      </c>
      <c r="G46" t="s">
        <v>1323</v>
      </c>
      <c r="H46">
        <v>2398</v>
      </c>
      <c r="I46" t="s">
        <v>1409</v>
      </c>
    </row>
    <row r="47" spans="1:9">
      <c r="A47" t="s">
        <v>1368</v>
      </c>
      <c r="B47" t="s">
        <v>1262</v>
      </c>
      <c r="C47" t="s">
        <v>381</v>
      </c>
      <c r="D47" s="6">
        <v>46158</v>
      </c>
      <c r="E47">
        <v>1899</v>
      </c>
      <c r="F47" t="s">
        <v>1311</v>
      </c>
      <c r="G47" t="s">
        <v>1323</v>
      </c>
      <c r="H47">
        <v>1899</v>
      </c>
      <c r="I47" t="s">
        <v>1409</v>
      </c>
    </row>
    <row r="48" spans="1:9">
      <c r="A48" t="s">
        <v>1369</v>
      </c>
      <c r="B48" t="s">
        <v>1264</v>
      </c>
      <c r="C48" t="s">
        <v>441</v>
      </c>
      <c r="D48" s="6">
        <v>46085</v>
      </c>
      <c r="E48">
        <v>2499</v>
      </c>
      <c r="F48" t="s">
        <v>1314</v>
      </c>
      <c r="G48" t="s">
        <v>1312</v>
      </c>
      <c r="H48">
        <v>2499</v>
      </c>
      <c r="I48" t="s">
        <v>1409</v>
      </c>
    </row>
    <row r="49" spans="1:9">
      <c r="A49" t="s">
        <v>1370</v>
      </c>
      <c r="B49" t="s">
        <v>1265</v>
      </c>
      <c r="C49" t="s">
        <v>745</v>
      </c>
      <c r="D49" s="6">
        <v>46205</v>
      </c>
      <c r="E49">
        <v>4497</v>
      </c>
      <c r="F49" t="s">
        <v>1314</v>
      </c>
      <c r="G49" t="s">
        <v>1320</v>
      </c>
      <c r="H49">
        <v>4497</v>
      </c>
      <c r="I49" t="s">
        <v>1409</v>
      </c>
    </row>
    <row r="50" spans="1:9">
      <c r="A50" t="s">
        <v>1371</v>
      </c>
      <c r="B50" t="s">
        <v>1266</v>
      </c>
      <c r="C50" t="s">
        <v>576</v>
      </c>
      <c r="D50" s="6">
        <v>46077</v>
      </c>
      <c r="E50">
        <v>6998</v>
      </c>
      <c r="F50" t="s">
        <v>1311</v>
      </c>
      <c r="G50" t="s">
        <v>1323</v>
      </c>
      <c r="H50">
        <v>6998</v>
      </c>
      <c r="I50" t="s">
        <v>1409</v>
      </c>
    </row>
    <row r="51" spans="1:9">
      <c r="A51" t="s">
        <v>1372</v>
      </c>
      <c r="B51" t="s">
        <v>1268</v>
      </c>
      <c r="C51" t="s">
        <v>630</v>
      </c>
      <c r="D51" s="6">
        <v>46197</v>
      </c>
      <c r="E51">
        <v>1598</v>
      </c>
      <c r="F51" t="s">
        <v>1317</v>
      </c>
      <c r="G51" t="s">
        <v>1323</v>
      </c>
      <c r="H51">
        <v>1598</v>
      </c>
      <c r="I51" t="s">
        <v>1409</v>
      </c>
    </row>
    <row r="52" spans="1:9">
      <c r="A52" t="s">
        <v>1373</v>
      </c>
      <c r="B52" t="s">
        <v>1269</v>
      </c>
      <c r="C52" t="s">
        <v>206</v>
      </c>
      <c r="D52" s="6">
        <v>46203</v>
      </c>
      <c r="E52">
        <v>1499</v>
      </c>
      <c r="F52" t="s">
        <v>1311</v>
      </c>
      <c r="G52" t="s">
        <v>1318</v>
      </c>
      <c r="H52">
        <v>1499</v>
      </c>
      <c r="I52" t="s">
        <v>1409</v>
      </c>
    </row>
    <row r="53" spans="1:9">
      <c r="A53" t="s">
        <v>1374</v>
      </c>
      <c r="B53" t="s">
        <v>1271</v>
      </c>
      <c r="C53" t="s">
        <v>715</v>
      </c>
      <c r="D53" s="6">
        <v>46176</v>
      </c>
      <c r="E53">
        <v>599</v>
      </c>
      <c r="F53" t="s">
        <v>1311</v>
      </c>
      <c r="G53" t="s">
        <v>1320</v>
      </c>
      <c r="H53">
        <v>599</v>
      </c>
      <c r="I53" t="s">
        <v>1409</v>
      </c>
    </row>
    <row r="54" spans="1:9">
      <c r="A54" t="s">
        <v>1375</v>
      </c>
      <c r="B54" t="s">
        <v>1275</v>
      </c>
      <c r="C54" t="s">
        <v>79</v>
      </c>
      <c r="D54" s="6">
        <v>46214</v>
      </c>
      <c r="E54">
        <v>1499</v>
      </c>
      <c r="F54" t="s">
        <v>1311</v>
      </c>
      <c r="G54" t="s">
        <v>1318</v>
      </c>
      <c r="H54">
        <v>1499</v>
      </c>
      <c r="I54" t="s">
        <v>1409</v>
      </c>
    </row>
    <row r="55" spans="1:9">
      <c r="A55" t="s">
        <v>1376</v>
      </c>
      <c r="B55" t="s">
        <v>1279</v>
      </c>
      <c r="C55" t="s">
        <v>608</v>
      </c>
      <c r="D55" s="6">
        <v>46192</v>
      </c>
      <c r="E55">
        <v>799</v>
      </c>
      <c r="F55" t="s">
        <v>1311</v>
      </c>
      <c r="G55" t="s">
        <v>1323</v>
      </c>
      <c r="H55">
        <v>799</v>
      </c>
      <c r="I55" t="s">
        <v>1409</v>
      </c>
    </row>
    <row r="56" spans="1:9">
      <c r="A56" t="s">
        <v>1377</v>
      </c>
      <c r="B56" t="s">
        <v>1280</v>
      </c>
      <c r="C56" t="s">
        <v>348</v>
      </c>
      <c r="D56" s="6">
        <v>46178</v>
      </c>
      <c r="E56" t="s">
        <v>1378</v>
      </c>
      <c r="F56" t="s">
        <v>1311</v>
      </c>
      <c r="G56" t="s">
        <v>1318</v>
      </c>
      <c r="H56">
        <v>2199</v>
      </c>
      <c r="I56" t="s">
        <v>1426</v>
      </c>
    </row>
    <row r="57" spans="1:9">
      <c r="A57" t="s">
        <v>1379</v>
      </c>
      <c r="B57" t="s">
        <v>1281</v>
      </c>
      <c r="C57" t="s">
        <v>448</v>
      </c>
      <c r="D57" s="6">
        <v>46073</v>
      </c>
      <c r="E57">
        <v>2697</v>
      </c>
      <c r="F57" t="s">
        <v>1311</v>
      </c>
      <c r="G57" t="s">
        <v>1417</v>
      </c>
      <c r="H57">
        <v>2697</v>
      </c>
      <c r="I57" t="s">
        <v>1409</v>
      </c>
    </row>
    <row r="58" spans="1:9">
      <c r="A58" t="s">
        <v>1380</v>
      </c>
      <c r="B58" t="s">
        <v>1284</v>
      </c>
      <c r="C58" t="s">
        <v>711</v>
      </c>
      <c r="D58" s="6">
        <v>46082</v>
      </c>
      <c r="E58">
        <v>1599</v>
      </c>
      <c r="F58" t="s">
        <v>1317</v>
      </c>
      <c r="G58" t="s">
        <v>1318</v>
      </c>
      <c r="H58">
        <v>1599</v>
      </c>
      <c r="I58" t="s">
        <v>1409</v>
      </c>
    </row>
    <row r="59" spans="1:9">
      <c r="A59" t="s">
        <v>1381</v>
      </c>
      <c r="B59" t="s">
        <v>1287</v>
      </c>
      <c r="C59" t="s">
        <v>388</v>
      </c>
      <c r="D59" s="6">
        <v>46200</v>
      </c>
      <c r="E59">
        <v>1598</v>
      </c>
      <c r="F59" t="s">
        <v>1317</v>
      </c>
      <c r="G59" t="s">
        <v>1320</v>
      </c>
      <c r="H59">
        <v>1598</v>
      </c>
      <c r="I59" t="s">
        <v>1409</v>
      </c>
    </row>
    <row r="60" spans="1:9">
      <c r="A60" t="s">
        <v>1382</v>
      </c>
      <c r="B60" t="s">
        <v>1288</v>
      </c>
      <c r="C60" t="s">
        <v>651</v>
      </c>
      <c r="D60" s="6">
        <v>46071</v>
      </c>
      <c r="E60">
        <v>499</v>
      </c>
      <c r="F60" t="s">
        <v>1311</v>
      </c>
      <c r="G60" t="s">
        <v>1318</v>
      </c>
      <c r="H60">
        <v>499</v>
      </c>
      <c r="I60" t="s">
        <v>1409</v>
      </c>
    </row>
    <row r="61" spans="1:9">
      <c r="A61" t="s">
        <v>1383</v>
      </c>
      <c r="B61" t="s">
        <v>1290</v>
      </c>
      <c r="C61" t="s">
        <v>732</v>
      </c>
      <c r="D61" s="6">
        <v>46064</v>
      </c>
      <c r="E61">
        <v>1999</v>
      </c>
      <c r="F61" t="s">
        <v>1317</v>
      </c>
      <c r="G61" t="s">
        <v>1312</v>
      </c>
      <c r="H61">
        <v>1999</v>
      </c>
      <c r="I61" t="s">
        <v>1409</v>
      </c>
    </row>
    <row r="62" spans="1:9">
      <c r="A62" t="s">
        <v>1384</v>
      </c>
      <c r="B62" t="s">
        <v>1292</v>
      </c>
      <c r="C62" t="s">
        <v>755</v>
      </c>
      <c r="D62" s="6">
        <v>46217</v>
      </c>
      <c r="E62">
        <v>599</v>
      </c>
      <c r="F62" t="s">
        <v>1311</v>
      </c>
      <c r="G62" t="s">
        <v>1312</v>
      </c>
      <c r="H62">
        <v>599</v>
      </c>
      <c r="I62" t="s">
        <v>1409</v>
      </c>
    </row>
    <row r="63" spans="1:9">
      <c r="A63" t="s">
        <v>1385</v>
      </c>
      <c r="B63" t="s">
        <v>1293</v>
      </c>
      <c r="C63" t="s">
        <v>416</v>
      </c>
      <c r="D63" s="6">
        <v>46221</v>
      </c>
      <c r="E63">
        <v>2299</v>
      </c>
      <c r="F63" t="s">
        <v>1314</v>
      </c>
      <c r="G63" t="s">
        <v>1320</v>
      </c>
      <c r="H63">
        <v>2299</v>
      </c>
      <c r="I63" t="s">
        <v>1409</v>
      </c>
    </row>
    <row r="64" spans="1:9">
      <c r="A64" t="s">
        <v>1386</v>
      </c>
      <c r="B64" t="s">
        <v>1297</v>
      </c>
      <c r="C64" t="s">
        <v>112</v>
      </c>
      <c r="D64" s="6">
        <v>46187</v>
      </c>
      <c r="E64">
        <v>3999</v>
      </c>
      <c r="F64" t="s">
        <v>1311</v>
      </c>
      <c r="G64" t="s">
        <v>1417</v>
      </c>
      <c r="H64">
        <v>3999</v>
      </c>
      <c r="I64" t="s">
        <v>1409</v>
      </c>
    </row>
    <row r="65" spans="1:9">
      <c r="A65" t="s">
        <v>1387</v>
      </c>
      <c r="B65" t="s">
        <v>1298</v>
      </c>
      <c r="C65" t="s">
        <v>622</v>
      </c>
      <c r="D65" s="6">
        <v>46109</v>
      </c>
      <c r="E65">
        <v>5598</v>
      </c>
      <c r="F65" t="s">
        <v>1317</v>
      </c>
      <c r="G65" t="s">
        <v>1312</v>
      </c>
      <c r="H65">
        <v>5598</v>
      </c>
      <c r="I65" t="s">
        <v>1409</v>
      </c>
    </row>
    <row r="66" spans="1:9">
      <c r="A66" t="s">
        <v>1388</v>
      </c>
      <c r="B66" t="s">
        <v>1299</v>
      </c>
      <c r="C66" t="s">
        <v>27</v>
      </c>
      <c r="D66" s="6">
        <v>46084</v>
      </c>
      <c r="E66">
        <v>1799</v>
      </c>
      <c r="F66" t="s">
        <v>1317</v>
      </c>
      <c r="G66" t="s">
        <v>1312</v>
      </c>
      <c r="H66">
        <v>1799</v>
      </c>
      <c r="I66" t="s">
        <v>1409</v>
      </c>
    </row>
    <row r="67" spans="1:9">
      <c r="A67" t="s">
        <v>1389</v>
      </c>
      <c r="B67" t="s">
        <v>1300</v>
      </c>
      <c r="C67" t="s">
        <v>200</v>
      </c>
      <c r="D67" s="6">
        <v>46114</v>
      </c>
      <c r="E67">
        <v>3499</v>
      </c>
      <c r="F67" t="s">
        <v>1311</v>
      </c>
      <c r="G67" t="s">
        <v>1323</v>
      </c>
      <c r="H67">
        <v>3499</v>
      </c>
      <c r="I67" t="s">
        <v>1409</v>
      </c>
    </row>
    <row r="68" spans="1:9">
      <c r="A68" t="s">
        <v>1391</v>
      </c>
      <c r="B68" t="s">
        <v>1301</v>
      </c>
      <c r="C68" t="s">
        <v>751</v>
      </c>
      <c r="D68" s="6">
        <v>46164</v>
      </c>
      <c r="E68" t="s">
        <v>1357</v>
      </c>
      <c r="F68" t="s">
        <v>1311</v>
      </c>
      <c r="G68" t="s">
        <v>1318</v>
      </c>
      <c r="H68">
        <v>2299</v>
      </c>
      <c r="I68" t="s">
        <v>1426</v>
      </c>
    </row>
    <row r="69" spans="1:9">
      <c r="A69" t="s">
        <v>1392</v>
      </c>
      <c r="B69" t="s">
        <v>1230</v>
      </c>
      <c r="C69" t="s">
        <v>230</v>
      </c>
      <c r="D69" s="6">
        <v>46209</v>
      </c>
      <c r="E69">
        <v>1499</v>
      </c>
      <c r="F69" t="s">
        <v>1314</v>
      </c>
      <c r="G69" t="s">
        <v>1320</v>
      </c>
      <c r="H69">
        <v>1499</v>
      </c>
      <c r="I69" t="s">
        <v>1409</v>
      </c>
    </row>
    <row r="70" spans="1:9">
      <c r="A70" t="s">
        <v>1394</v>
      </c>
      <c r="B70" t="s">
        <v>1238</v>
      </c>
      <c r="C70" t="s">
        <v>675</v>
      </c>
      <c r="D70" s="6">
        <v>46165</v>
      </c>
      <c r="E70">
        <v>1598</v>
      </c>
      <c r="F70" t="s">
        <v>1311</v>
      </c>
      <c r="G70" t="s">
        <v>1312</v>
      </c>
      <c r="H70">
        <v>1598</v>
      </c>
      <c r="I70" t="s">
        <v>1409</v>
      </c>
    </row>
    <row r="71" spans="1:9">
      <c r="A71" t="s">
        <v>1395</v>
      </c>
      <c r="B71" t="s">
        <v>1190</v>
      </c>
      <c r="C71" t="s">
        <v>600</v>
      </c>
      <c r="D71" s="6">
        <v>46101</v>
      </c>
      <c r="E71">
        <v>999</v>
      </c>
      <c r="F71" t="s">
        <v>1311</v>
      </c>
      <c r="G71" t="s">
        <v>1312</v>
      </c>
      <c r="H71">
        <v>999</v>
      </c>
      <c r="I71" t="s">
        <v>1409</v>
      </c>
    </row>
    <row r="72" spans="1:9">
      <c r="A72" t="s">
        <v>1396</v>
      </c>
      <c r="B72" t="s">
        <v>1275</v>
      </c>
      <c r="C72" t="s">
        <v>79</v>
      </c>
      <c r="D72" s="6">
        <v>46216</v>
      </c>
      <c r="E72">
        <v>1499</v>
      </c>
      <c r="F72" t="s">
        <v>1311</v>
      </c>
      <c r="G72" t="s">
        <v>1318</v>
      </c>
      <c r="H72">
        <v>1499</v>
      </c>
      <c r="I72" t="s">
        <v>1409</v>
      </c>
    </row>
    <row r="73" spans="1:9">
      <c r="A73" t="s">
        <v>1397</v>
      </c>
      <c r="B73" t="s">
        <v>1266</v>
      </c>
      <c r="C73" t="s">
        <v>576</v>
      </c>
      <c r="D73" s="6">
        <v>46079</v>
      </c>
      <c r="E73">
        <v>6998</v>
      </c>
      <c r="F73" t="s">
        <v>1311</v>
      </c>
      <c r="G73" t="s">
        <v>1323</v>
      </c>
      <c r="H73">
        <v>6998</v>
      </c>
      <c r="I73" t="s">
        <v>1409</v>
      </c>
    </row>
    <row r="74" spans="1:9">
      <c r="A74" t="s">
        <v>1398</v>
      </c>
      <c r="B74" t="s">
        <v>1183</v>
      </c>
      <c r="C74" t="s">
        <v>44</v>
      </c>
      <c r="D74" s="6">
        <v>46168</v>
      </c>
      <c r="E74">
        <v>499</v>
      </c>
      <c r="F74" t="s">
        <v>1311</v>
      </c>
      <c r="G74" t="s">
        <v>1312</v>
      </c>
      <c r="H74">
        <v>499</v>
      </c>
      <c r="I74" t="s">
        <v>1409</v>
      </c>
    </row>
    <row r="75" spans="1:9">
      <c r="A75" t="s">
        <v>1399</v>
      </c>
      <c r="B75" t="s">
        <v>1290</v>
      </c>
      <c r="C75" t="s">
        <v>732</v>
      </c>
      <c r="D75" s="6">
        <v>46066</v>
      </c>
      <c r="E75">
        <v>1999</v>
      </c>
      <c r="F75" t="s">
        <v>1317</v>
      </c>
      <c r="G75" t="s">
        <v>1312</v>
      </c>
      <c r="H75">
        <v>1999</v>
      </c>
      <c r="I75" t="s">
        <v>1409</v>
      </c>
    </row>
    <row r="76" spans="1:9">
      <c r="A76" t="s">
        <v>1400</v>
      </c>
      <c r="B76" t="s">
        <v>1401</v>
      </c>
      <c r="C76" t="s">
        <v>53</v>
      </c>
      <c r="D76" s="6">
        <v>46126</v>
      </c>
      <c r="E76">
        <v>3499</v>
      </c>
      <c r="F76" t="s">
        <v>1314</v>
      </c>
      <c r="G76" t="s">
        <v>1320</v>
      </c>
      <c r="H76">
        <v>3499</v>
      </c>
      <c r="I76" t="s">
        <v>1409</v>
      </c>
    </row>
    <row r="77" spans="1:9">
      <c r="A77" t="s">
        <v>1402</v>
      </c>
      <c r="C77" t="s">
        <v>466</v>
      </c>
      <c r="D77" s="6">
        <v>46227</v>
      </c>
      <c r="E77">
        <v>6598</v>
      </c>
      <c r="F77" t="s">
        <v>1314</v>
      </c>
      <c r="G77" t="s">
        <v>1320</v>
      </c>
      <c r="H77">
        <v>6598</v>
      </c>
      <c r="I77" t="s">
        <v>1409</v>
      </c>
    </row>
    <row r="78" spans="1:9">
      <c r="A78" t="s">
        <v>1403</v>
      </c>
      <c r="B78" t="s">
        <v>1404</v>
      </c>
      <c r="C78" t="s">
        <v>531</v>
      </c>
      <c r="D78" s="6">
        <v>46193</v>
      </c>
      <c r="E78">
        <v>499</v>
      </c>
      <c r="F78" t="s">
        <v>1314</v>
      </c>
      <c r="G78" t="s">
        <v>1312</v>
      </c>
      <c r="H78">
        <v>499</v>
      </c>
      <c r="I78" t="s">
        <v>1409</v>
      </c>
    </row>
    <row r="79" spans="1:9">
      <c r="A79" t="s">
        <v>1405</v>
      </c>
      <c r="C79" t="s">
        <v>650</v>
      </c>
      <c r="D79" s="6">
        <v>46188</v>
      </c>
      <c r="E79">
        <v>3499</v>
      </c>
      <c r="F79" t="s">
        <v>1314</v>
      </c>
      <c r="G79" t="s">
        <v>1312</v>
      </c>
      <c r="H79">
        <v>3499</v>
      </c>
      <c r="I79" t="s">
        <v>1409</v>
      </c>
    </row>
    <row r="80" spans="1:9">
      <c r="A80" t="s">
        <v>1406</v>
      </c>
      <c r="C80" t="s">
        <v>755</v>
      </c>
      <c r="D80" s="6">
        <v>46221</v>
      </c>
      <c r="E80">
        <v>599</v>
      </c>
      <c r="F80" t="s">
        <v>1314</v>
      </c>
      <c r="G80" t="s">
        <v>1320</v>
      </c>
      <c r="H80">
        <v>599</v>
      </c>
      <c r="I80" t="s">
        <v>1409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8B43F2-9239-48A0-B01F-95BDD0E5B8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DashBoard</vt:lpstr>
      <vt:lpstr>Leakage_Summary</vt:lpstr>
      <vt:lpstr>DQ_Checks</vt:lpstr>
      <vt:lpstr>Pivots</vt:lpstr>
      <vt:lpstr>Chart_data</vt:lpstr>
      <vt:lpstr>Reconciliation</vt:lpstr>
      <vt:lpstr>clean_Orders</vt:lpstr>
      <vt:lpstr>cln_Payments</vt:lpstr>
      <vt:lpstr>clean_Returns</vt:lpstr>
      <vt:lpstr>clean_Refunds</vt:lpstr>
      <vt:lpstr>Data_Issues_Log</vt:lpstr>
      <vt:lpstr>Orders_Raw</vt:lpstr>
      <vt:lpstr>Payments_Raw</vt:lpstr>
      <vt:lpstr>Returns_Raw</vt:lpstr>
      <vt:lpstr>Refunds_Raw</vt:lpstr>
      <vt:lpstr>stg_Refunds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S0477758</cp:lastModifiedBy>
  <cp:lastPrinted>2026-10-29T03:22:47Z</cp:lastPrinted>
  <dcterms:created xsi:type="dcterms:W3CDTF">2026-10-24T04:50:10Z</dcterms:created>
  <dcterms:modified xsi:type="dcterms:W3CDTF">2026-10-29T09:28:58Z</dcterms:modified>
</cp:coreProperties>
</file>